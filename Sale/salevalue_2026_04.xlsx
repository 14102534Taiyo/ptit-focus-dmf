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titorg.sharepoint.com/sites/PTITFocusStatistics/Shared Documents/General/2026 PTIT Focus/PL/SOURCE/DMF/Sale/"/>
    </mc:Choice>
  </mc:AlternateContent>
  <xr:revisionPtr revIDLastSave="17" documentId="11_C4D517CD49412B8342D1DFE6449E3097D87F6507" xr6:coauthVersionLast="47" xr6:coauthVersionMax="47" xr10:uidLastSave="{2127F3D4-5E9F-4CAB-BFD1-327F5AB4FB1D}"/>
  <bookViews>
    <workbookView xWindow="-108" yWindow="-108" windowWidth="23256" windowHeight="12456" xr2:uid="{00000000-000D-0000-FFFF-FFFF00000000}"/>
  </bookViews>
  <sheets>
    <sheet name="เมษายน 2569" sheetId="1" r:id="rId1"/>
  </sheets>
  <definedNames>
    <definedName name="_xlnm.Print_Area" localSheetId="0">'เมษายน 2569'!$A$1:$E$89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4" i="1" l="1"/>
  <c r="H47" i="1"/>
  <c r="G84" i="1" l="1"/>
  <c r="G47" i="1"/>
  <c r="G32" i="1"/>
</calcChain>
</file>

<file path=xl/sharedStrings.xml><?xml version="1.0" encoding="utf-8"?>
<sst xmlns="http://schemas.openxmlformats.org/spreadsheetml/2006/main" count="109" uniqueCount="68">
  <si>
    <t>รายงานมูลค่าการขายปิโตรเลียมและค่าภาคหลวง</t>
  </si>
  <si>
    <t>เมษายน 2569</t>
  </si>
  <si>
    <t>แก้ไข8 มิ.ย. 2569</t>
  </si>
  <si>
    <t>ก๊าซธรรมชาติ</t>
  </si>
  <si>
    <t>แหล่ง</t>
  </si>
  <si>
    <t>ปริมาณการขายรายเดือน</t>
  </si>
  <si>
    <t>มูลค่า</t>
  </si>
  <si>
    <t>ค่าภาคหลวง</t>
  </si>
  <si>
    <t>(ล้านลบ.ฟุต)</t>
  </si>
  <si>
    <t>(ล้านบีทียู)</t>
  </si>
  <si>
    <t>(บาท)</t>
  </si>
  <si>
    <t>อาทิตย์</t>
  </si>
  <si>
    <t>เบญจมาศ</t>
  </si>
  <si>
    <t>บูรพา</t>
  </si>
  <si>
    <t>ชบา</t>
  </si>
  <si>
    <t>G12/48</t>
  </si>
  <si>
    <t>ลันตา</t>
  </si>
  <si>
    <t>มะลิวัลย์</t>
  </si>
  <si>
    <t>มรกต_G7/50</t>
  </si>
  <si>
    <t>มรกต</t>
  </si>
  <si>
    <t>น้ำพอง</t>
  </si>
  <si>
    <t>ไพลินเหนือ</t>
  </si>
  <si>
    <t>ตราด</t>
  </si>
  <si>
    <t>ไพลิน</t>
  </si>
  <si>
    <t>สินภูฮ่อม_E5N</t>
  </si>
  <si>
    <t>สินภูฮ่อม_EU1</t>
  </si>
  <si>
    <t>สิริกิติ์_NGV</t>
  </si>
  <si>
    <t>สิริกิติ์_ประดู่เฒ่า_A</t>
  </si>
  <si>
    <t>สิริกิติ์_เสาเถียร</t>
  </si>
  <si>
    <t>สิริกิติ์_กลุ่มแม่บ้าน</t>
  </si>
  <si>
    <t>สุรินทร์</t>
  </si>
  <si>
    <t>ตราด_11A</t>
  </si>
  <si>
    <t>ยะลา_10A</t>
  </si>
  <si>
    <t>ยุงทอง</t>
  </si>
  <si>
    <t>G1/61</t>
  </si>
  <si>
    <t>G2/61</t>
  </si>
  <si>
    <t>รวมทั้งหมด</t>
  </si>
  <si>
    <t>สิริกิติ์ (LPG*, kgs.)</t>
  </si>
  <si>
    <t>ก๊าซธรรมชาติเหลว</t>
  </si>
  <si>
    <t>(บาร์เรล)</t>
  </si>
  <si>
    <t>น้ำมันดิบ</t>
  </si>
  <si>
    <t>อรุโณทัย</t>
  </si>
  <si>
    <t>บัวหลวง</t>
  </si>
  <si>
    <t>บึงหญ้าหนองสา</t>
  </si>
  <si>
    <t>ดีดี</t>
  </si>
  <si>
    <t>นาสนุนตะวันออก</t>
  </si>
  <si>
    <t>จัสมิน</t>
  </si>
  <si>
    <t>กำแพงแสน</t>
  </si>
  <si>
    <t>L1/64 บึงหญ้า</t>
  </si>
  <si>
    <t>L33</t>
  </si>
  <si>
    <t>L53A</t>
  </si>
  <si>
    <t>L53D</t>
  </si>
  <si>
    <t>L53G</t>
  </si>
  <si>
    <t>มโนราห์</t>
  </si>
  <si>
    <t>หนองผักชี_เอ</t>
  </si>
  <si>
    <t>หนองผักชี_บี</t>
  </si>
  <si>
    <t>หนองผักชี_ซี</t>
  </si>
  <si>
    <t>หนองผักชี_ดี</t>
  </si>
  <si>
    <t>หนองผักชี จี</t>
  </si>
  <si>
    <t>นงเยาว์</t>
  </si>
  <si>
    <t>บ่อรังเหนือ</t>
  </si>
  <si>
    <t>รสสุคนธ์</t>
  </si>
  <si>
    <t>สังขจาย</t>
  </si>
  <si>
    <t>สิริกิติ์</t>
  </si>
  <si>
    <t>อู่ทอง</t>
  </si>
  <si>
    <t>วังไผ่สูง</t>
  </si>
  <si>
    <t>วิเชียรบุรีศรีเทพ</t>
  </si>
  <si>
    <t>วิเชียรบุรีส่วนขยาย-3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</si>
</sst>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rgb="FF000000"/>
      <name val="Calibri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25"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4" fontId="2" fillId="2" borderId="2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2" fillId="2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048576"/>
  <sheetViews>
    <sheetView tabSelected="1" topLeftCell="A69" workbookViewId="0">
      <selection activeCell="A85" sqref="A85:C85"/>
    </sheetView>
  </sheetViews>
  <sheetFormatPr defaultRowHeight="14.4" x14ac:dyDescent="0.3"/>
  <cols>
    <col min="1" max="1" width="28.6640625" style="1" customWidth="1"/>
    <col min="2" max="3" width="14" style="1" customWidth="1"/>
    <col min="4" max="5" width="19.33203125" style="1" customWidth="1"/>
    <col min="6" max="6" width="8.6640625" style="1" customWidth="1"/>
    <col min="7" max="7" width="10.44140625" style="1" customWidth="1"/>
    <col min="8" max="1025" width="8.6640625" style="1" customWidth="1"/>
  </cols>
  <sheetData>
    <row r="1" spans="1:5" ht="17.100000000000001" customHeight="1" x14ac:dyDescent="0.3">
      <c r="A1" s="11" t="s">
        <v>0</v>
      </c>
      <c r="B1" s="11"/>
      <c r="C1" s="11"/>
      <c r="D1" s="11"/>
      <c r="E1" s="11"/>
    </row>
    <row r="2" spans="1:5" ht="17.100000000000001" customHeight="1" x14ac:dyDescent="0.3">
      <c r="A2" s="11" t="s">
        <v>1</v>
      </c>
      <c r="B2" s="11"/>
      <c r="C2" s="11"/>
      <c r="D2" s="11"/>
      <c r="E2" s="11"/>
    </row>
    <row r="3" spans="1:5" ht="17.100000000000001" customHeight="1" x14ac:dyDescent="0.3">
      <c r="A3" s="21" t="s">
        <v>2</v>
      </c>
      <c r="B3" s="21"/>
      <c r="C3" s="21"/>
      <c r="D3" s="21"/>
      <c r="E3" s="21"/>
    </row>
    <row r="4" spans="1:5" x14ac:dyDescent="0.3">
      <c r="A4" s="20" t="s">
        <v>3</v>
      </c>
      <c r="B4" s="17"/>
      <c r="C4" s="17"/>
      <c r="D4" s="17"/>
      <c r="E4" s="17"/>
    </row>
    <row r="5" spans="1:5" x14ac:dyDescent="0.3">
      <c r="A5" s="18" t="s">
        <v>4</v>
      </c>
      <c r="B5" s="18" t="s">
        <v>5</v>
      </c>
      <c r="C5" s="17"/>
      <c r="D5" s="4" t="s">
        <v>6</v>
      </c>
      <c r="E5" s="4" t="s">
        <v>7</v>
      </c>
    </row>
    <row r="6" spans="1:5" x14ac:dyDescent="0.3">
      <c r="A6" s="17"/>
      <c r="B6" s="4" t="s">
        <v>8</v>
      </c>
      <c r="C6" s="4" t="s">
        <v>9</v>
      </c>
      <c r="D6" s="4" t="s">
        <v>10</v>
      </c>
      <c r="E6" s="4" t="s">
        <v>10</v>
      </c>
    </row>
    <row r="7" spans="1:5" x14ac:dyDescent="0.3">
      <c r="A7" s="5" t="s">
        <v>11</v>
      </c>
      <c r="B7" s="7">
        <v>11137.44</v>
      </c>
      <c r="C7" s="7">
        <v>10924726</v>
      </c>
      <c r="D7" s="7">
        <v>2797489124.46</v>
      </c>
      <c r="E7" s="7">
        <v>349686140.56</v>
      </c>
    </row>
    <row r="8" spans="1:5" x14ac:dyDescent="0.3">
      <c r="A8" s="5" t="s">
        <v>12</v>
      </c>
      <c r="B8" s="7">
        <v>1045.2374</v>
      </c>
      <c r="C8" s="7">
        <v>1104625</v>
      </c>
      <c r="D8" s="7">
        <v>244270033.05000001</v>
      </c>
      <c r="E8" s="7">
        <v>24386029.41</v>
      </c>
    </row>
    <row r="9" spans="1:5" x14ac:dyDescent="0.3">
      <c r="A9" s="5" t="s">
        <v>13</v>
      </c>
      <c r="B9" s="6">
        <v>1.0851</v>
      </c>
      <c r="C9" s="7">
        <v>1869.546</v>
      </c>
      <c r="D9" s="7">
        <v>95851.62</v>
      </c>
      <c r="E9" s="7">
        <v>4792.58</v>
      </c>
    </row>
    <row r="10" spans="1:5" x14ac:dyDescent="0.3">
      <c r="A10" s="5" t="s">
        <v>14</v>
      </c>
      <c r="B10" s="6">
        <v>84.651700000000005</v>
      </c>
      <c r="C10" s="7">
        <v>69296.422000000006</v>
      </c>
      <c r="D10" s="7">
        <v>15327405.32</v>
      </c>
      <c r="E10" s="7">
        <v>1530169.51</v>
      </c>
    </row>
    <row r="11" spans="1:5" x14ac:dyDescent="0.3">
      <c r="A11" s="5" t="s">
        <v>15</v>
      </c>
      <c r="B11" s="6">
        <v>156.08799999999999</v>
      </c>
      <c r="C11" s="7">
        <v>151740</v>
      </c>
      <c r="D11" s="7">
        <v>41168549.049999997</v>
      </c>
      <c r="E11" s="7">
        <v>2058427.45</v>
      </c>
    </row>
    <row r="12" spans="1:5" x14ac:dyDescent="0.3">
      <c r="A12" s="5" t="s">
        <v>16</v>
      </c>
      <c r="B12" s="6">
        <v>148.49639999999999</v>
      </c>
      <c r="C12" s="7">
        <v>156931</v>
      </c>
      <c r="D12" s="7">
        <v>34703905.25</v>
      </c>
      <c r="E12" s="7">
        <v>2387385.29</v>
      </c>
    </row>
    <row r="13" spans="1:5" x14ac:dyDescent="0.3">
      <c r="A13" s="5" t="s">
        <v>17</v>
      </c>
      <c r="B13" s="7">
        <v>1153.2465</v>
      </c>
      <c r="C13" s="7">
        <v>1218988</v>
      </c>
      <c r="D13" s="7">
        <v>269564446.52999997</v>
      </c>
      <c r="E13" s="7">
        <v>26911227.859999999</v>
      </c>
    </row>
    <row r="14" spans="1:5" x14ac:dyDescent="0.3">
      <c r="A14" s="5" t="s">
        <v>18</v>
      </c>
      <c r="B14" s="6">
        <v>23.226199999999999</v>
      </c>
      <c r="C14" s="7">
        <v>22747</v>
      </c>
      <c r="D14" s="7">
        <v>5239671.3600000003</v>
      </c>
      <c r="E14" s="7">
        <v>261983.57</v>
      </c>
    </row>
    <row r="15" spans="1:5" x14ac:dyDescent="0.3">
      <c r="A15" s="5" t="s">
        <v>19</v>
      </c>
      <c r="B15" s="7">
        <v>4791.0333000000001</v>
      </c>
      <c r="C15" s="7">
        <v>4690301</v>
      </c>
      <c r="D15" s="7">
        <v>1080390198.03</v>
      </c>
      <c r="E15" s="7">
        <v>135048774.75</v>
      </c>
    </row>
    <row r="16" spans="1:5" x14ac:dyDescent="0.3">
      <c r="A16" s="5" t="s">
        <v>20</v>
      </c>
      <c r="B16" s="6">
        <v>157.65729999999999</v>
      </c>
      <c r="C16" s="7">
        <v>151224</v>
      </c>
      <c r="D16" s="7">
        <v>39536113.280000001</v>
      </c>
      <c r="E16" s="7">
        <v>4942014.16</v>
      </c>
    </row>
    <row r="17" spans="1:7" x14ac:dyDescent="0.3">
      <c r="A17" s="5" t="s">
        <v>21</v>
      </c>
      <c r="B17" s="7">
        <v>5585.0415999999996</v>
      </c>
      <c r="C17" s="7">
        <v>5345198</v>
      </c>
      <c r="D17" s="7">
        <v>1231242840.4300001</v>
      </c>
      <c r="E17" s="7">
        <v>153905355.05000001</v>
      </c>
    </row>
    <row r="18" spans="1:7" x14ac:dyDescent="0.3">
      <c r="A18" s="5" t="s">
        <v>22</v>
      </c>
      <c r="B18" s="6">
        <v>29.0901</v>
      </c>
      <c r="C18" s="7">
        <v>27579</v>
      </c>
      <c r="D18" s="7">
        <v>5452390.3600000003</v>
      </c>
      <c r="E18" s="7">
        <v>681548.80000000005</v>
      </c>
    </row>
    <row r="19" spans="1:7" x14ac:dyDescent="0.3">
      <c r="A19" s="5" t="s">
        <v>23</v>
      </c>
      <c r="B19" s="7">
        <v>2897.8683000000001</v>
      </c>
      <c r="C19" s="7">
        <v>2821349</v>
      </c>
      <c r="D19" s="7">
        <v>649885328.21000004</v>
      </c>
      <c r="E19" s="7">
        <v>81235666.030000001</v>
      </c>
    </row>
    <row r="20" spans="1:7" x14ac:dyDescent="0.3">
      <c r="A20" s="5" t="s">
        <v>24</v>
      </c>
      <c r="B20" s="6">
        <v>575.39400000000001</v>
      </c>
      <c r="C20" s="7">
        <v>612719</v>
      </c>
      <c r="D20" s="7">
        <v>131275025.8</v>
      </c>
      <c r="E20" s="7">
        <v>16409378.220000001</v>
      </c>
    </row>
    <row r="21" spans="1:7" x14ac:dyDescent="0.3">
      <c r="A21" s="5" t="s">
        <v>25</v>
      </c>
      <c r="B21" s="7">
        <v>2301.5770000000002</v>
      </c>
      <c r="C21" s="7">
        <v>2450875</v>
      </c>
      <c r="D21" s="7">
        <v>525100150</v>
      </c>
      <c r="E21" s="7">
        <v>65637518.75</v>
      </c>
    </row>
    <row r="22" spans="1:7" x14ac:dyDescent="0.3">
      <c r="A22" s="5" t="s">
        <v>26</v>
      </c>
      <c r="B22" s="6">
        <v>75.728999999999999</v>
      </c>
      <c r="C22" s="7">
        <v>81594</v>
      </c>
      <c r="D22" s="7">
        <v>18107418.629999999</v>
      </c>
      <c r="E22" s="7">
        <v>2263427.33</v>
      </c>
    </row>
    <row r="23" spans="1:7" x14ac:dyDescent="0.3">
      <c r="A23" s="5" t="s">
        <v>27</v>
      </c>
      <c r="B23" s="6">
        <v>2.915</v>
      </c>
      <c r="C23" s="7">
        <v>4834.5060000000003</v>
      </c>
      <c r="D23" s="7">
        <v>275276.77</v>
      </c>
      <c r="E23" s="7">
        <v>34409.599999999999</v>
      </c>
    </row>
    <row r="24" spans="1:7" x14ac:dyDescent="0.3">
      <c r="A24" s="5" t="s">
        <v>28</v>
      </c>
      <c r="B24" s="6">
        <v>9.1890000000000001</v>
      </c>
      <c r="C24" s="7">
        <v>15056.525</v>
      </c>
      <c r="D24" s="7">
        <v>927679.18</v>
      </c>
      <c r="E24" s="7">
        <v>115959.9</v>
      </c>
    </row>
    <row r="25" spans="1:7" x14ac:dyDescent="0.3">
      <c r="A25" s="5" t="s">
        <v>29</v>
      </c>
      <c r="B25" s="6">
        <v>1.6559999999999999</v>
      </c>
      <c r="C25" s="7">
        <v>2233.7150000000001</v>
      </c>
      <c r="D25" s="7">
        <v>443906.18</v>
      </c>
      <c r="E25" s="7">
        <v>55488.27</v>
      </c>
    </row>
    <row r="26" spans="1:7" x14ac:dyDescent="0.3">
      <c r="A26" s="5" t="s">
        <v>30</v>
      </c>
      <c r="B26" s="6">
        <v>8.07</v>
      </c>
      <c r="C26" s="7">
        <v>8529</v>
      </c>
      <c r="D26" s="7">
        <v>1885970.28</v>
      </c>
      <c r="E26" s="7">
        <v>129741.53</v>
      </c>
    </row>
    <row r="27" spans="1:7" x14ac:dyDescent="0.3">
      <c r="A27" s="5" t="s">
        <v>31</v>
      </c>
      <c r="B27" s="6">
        <v>10.3156</v>
      </c>
      <c r="C27" s="7">
        <v>10935.683999999999</v>
      </c>
      <c r="D27" s="7">
        <v>2161993.48</v>
      </c>
      <c r="E27" s="7">
        <v>270249.19</v>
      </c>
    </row>
    <row r="28" spans="1:7" x14ac:dyDescent="0.3">
      <c r="A28" s="5" t="s">
        <v>32</v>
      </c>
      <c r="B28" s="6">
        <v>39.1</v>
      </c>
      <c r="C28" s="7">
        <v>32184.547999999999</v>
      </c>
      <c r="D28" s="7">
        <v>6362910.8899999997</v>
      </c>
      <c r="E28" s="7">
        <v>795363.87</v>
      </c>
    </row>
    <row r="29" spans="1:7" x14ac:dyDescent="0.3">
      <c r="A29" s="5" t="s">
        <v>33</v>
      </c>
      <c r="B29" s="6">
        <v>3.3774000000000002</v>
      </c>
      <c r="C29" s="7">
        <v>2799.9969999999998</v>
      </c>
      <c r="D29" s="7">
        <v>553561.65</v>
      </c>
      <c r="E29" s="7">
        <v>27678.080000000002</v>
      </c>
    </row>
    <row r="30" spans="1:7" x14ac:dyDescent="0.3">
      <c r="A30" s="5" t="s">
        <v>34</v>
      </c>
      <c r="B30" s="7">
        <v>22546.861000000001</v>
      </c>
      <c r="C30" s="7">
        <v>20502483</v>
      </c>
      <c r="D30" s="7">
        <v>3007201694.0300002</v>
      </c>
      <c r="E30" s="7">
        <v>1118679030.1700001</v>
      </c>
    </row>
    <row r="31" spans="1:7" x14ac:dyDescent="0.3">
      <c r="A31" s="5" t="s">
        <v>35</v>
      </c>
      <c r="B31" s="7">
        <v>22655.67</v>
      </c>
      <c r="C31" s="7">
        <v>21809931</v>
      </c>
      <c r="D31" s="7">
        <v>3198971629.4299998</v>
      </c>
      <c r="E31" s="7">
        <v>1215609219.1800001</v>
      </c>
    </row>
    <row r="32" spans="1:7" x14ac:dyDescent="0.3">
      <c r="A32" s="4" t="s">
        <v>36</v>
      </c>
      <c r="B32" s="8">
        <v>75440.015899999999</v>
      </c>
      <c r="C32" s="8">
        <v>72220749.943000004</v>
      </c>
      <c r="D32" s="8">
        <v>13307633073.27</v>
      </c>
      <c r="E32" s="8">
        <v>3203066979.1100001</v>
      </c>
      <c r="G32" s="1">
        <f>B32/30</f>
        <v>2514.6671966666668</v>
      </c>
    </row>
    <row r="33" spans="1:8" x14ac:dyDescent="0.3">
      <c r="A33" s="5" t="s">
        <v>37</v>
      </c>
      <c r="B33" s="6">
        <v>0</v>
      </c>
      <c r="C33" s="7">
        <v>4639970</v>
      </c>
      <c r="D33" s="7">
        <v>79382926.760000005</v>
      </c>
      <c r="E33" s="7">
        <v>9922865.8399999999</v>
      </c>
    </row>
    <row r="34" spans="1:8" x14ac:dyDescent="0.3">
      <c r="A34" s="20" t="s">
        <v>38</v>
      </c>
      <c r="B34" s="17"/>
      <c r="C34" s="17"/>
      <c r="D34" s="17"/>
      <c r="E34" s="17"/>
    </row>
    <row r="35" spans="1:8" x14ac:dyDescent="0.3">
      <c r="A35" s="18" t="s">
        <v>4</v>
      </c>
      <c r="B35" s="18" t="s">
        <v>5</v>
      </c>
      <c r="C35" s="17"/>
      <c r="D35" s="4" t="s">
        <v>6</v>
      </c>
      <c r="E35" s="4" t="s">
        <v>7</v>
      </c>
    </row>
    <row r="36" spans="1:8" x14ac:dyDescent="0.3">
      <c r="A36" s="17"/>
      <c r="B36" s="18" t="s">
        <v>39</v>
      </c>
      <c r="C36" s="17"/>
      <c r="D36" s="4" t="s">
        <v>10</v>
      </c>
      <c r="E36" s="4" t="s">
        <v>10</v>
      </c>
    </row>
    <row r="37" spans="1:8" x14ac:dyDescent="0.3">
      <c r="A37" s="5" t="s">
        <v>11</v>
      </c>
      <c r="B37" s="22">
        <v>550190</v>
      </c>
      <c r="C37" s="16"/>
      <c r="D37" s="7">
        <v>1736308859.48</v>
      </c>
      <c r="E37" s="7">
        <v>217038607.43000001</v>
      </c>
    </row>
    <row r="38" spans="1:8" x14ac:dyDescent="0.3">
      <c r="A38" s="5" t="s">
        <v>18</v>
      </c>
      <c r="B38" s="22">
        <v>1158</v>
      </c>
      <c r="C38" s="16"/>
      <c r="D38" s="7">
        <v>3645545.09</v>
      </c>
      <c r="E38" s="7">
        <v>182277.25</v>
      </c>
    </row>
    <row r="39" spans="1:8" x14ac:dyDescent="0.3">
      <c r="A39" s="5" t="s">
        <v>19</v>
      </c>
      <c r="B39" s="22">
        <v>222224</v>
      </c>
      <c r="C39" s="16"/>
      <c r="D39" s="7">
        <v>699575575.27999997</v>
      </c>
      <c r="E39" s="7">
        <v>87446946.909999996</v>
      </c>
    </row>
    <row r="40" spans="1:8" x14ac:dyDescent="0.3">
      <c r="A40" s="5" t="s">
        <v>21</v>
      </c>
      <c r="B40" s="22">
        <v>184572</v>
      </c>
      <c r="C40" s="16"/>
      <c r="D40" s="7">
        <v>581143603.58000004</v>
      </c>
      <c r="E40" s="7">
        <v>72642950.450000003</v>
      </c>
    </row>
    <row r="41" spans="1:8" x14ac:dyDescent="0.3">
      <c r="A41" s="5" t="s">
        <v>23</v>
      </c>
      <c r="B41" s="22">
        <v>96755</v>
      </c>
      <c r="C41" s="16"/>
      <c r="D41" s="7">
        <v>304632379.75</v>
      </c>
      <c r="E41" s="7">
        <v>38079047.469999999</v>
      </c>
    </row>
    <row r="42" spans="1:8" x14ac:dyDescent="0.3">
      <c r="A42" s="5" t="s">
        <v>24</v>
      </c>
      <c r="B42" s="22">
        <v>1142.57</v>
      </c>
      <c r="C42" s="16"/>
      <c r="D42" s="7">
        <v>3631337.56</v>
      </c>
      <c r="E42" s="7">
        <v>453917.18</v>
      </c>
    </row>
    <row r="43" spans="1:8" x14ac:dyDescent="0.3">
      <c r="A43" s="5" t="s">
        <v>25</v>
      </c>
      <c r="B43" s="22">
        <v>4570.4399999999996</v>
      </c>
      <c r="C43" s="16"/>
      <c r="D43" s="7">
        <v>14525858.550000001</v>
      </c>
      <c r="E43" s="7">
        <v>1815732.34</v>
      </c>
    </row>
    <row r="44" spans="1:8" x14ac:dyDescent="0.3">
      <c r="A44" s="5" t="s">
        <v>31</v>
      </c>
      <c r="B44" s="15">
        <v>330</v>
      </c>
      <c r="C44" s="16"/>
      <c r="D44" s="7">
        <v>1043242.06</v>
      </c>
      <c r="E44" s="7">
        <v>130405.24</v>
      </c>
    </row>
    <row r="45" spans="1:8" x14ac:dyDescent="0.3">
      <c r="A45" s="5" t="s">
        <v>34</v>
      </c>
      <c r="B45" s="22">
        <v>583271</v>
      </c>
      <c r="C45" s="16"/>
      <c r="D45" s="7">
        <v>1805753059.8</v>
      </c>
      <c r="E45" s="7">
        <v>671740138.25999999</v>
      </c>
    </row>
    <row r="46" spans="1:8" x14ac:dyDescent="0.3">
      <c r="A46" s="5" t="s">
        <v>35</v>
      </c>
      <c r="B46" s="22">
        <v>670259</v>
      </c>
      <c r="C46" s="16"/>
      <c r="D46" s="7">
        <v>2066767947.5799999</v>
      </c>
      <c r="E46" s="7">
        <v>785371820.05999994</v>
      </c>
    </row>
    <row r="47" spans="1:8" x14ac:dyDescent="0.3">
      <c r="A47" s="4" t="s">
        <v>36</v>
      </c>
      <c r="B47" s="23">
        <v>2314472.0099999998</v>
      </c>
      <c r="C47" s="17"/>
      <c r="D47" s="8">
        <v>7217027408.7299995</v>
      </c>
      <c r="E47" s="8">
        <v>1874901842.5899999</v>
      </c>
      <c r="G47" s="1">
        <f>B47/30</f>
        <v>77149.066999999995</v>
      </c>
      <c r="H47" s="1">
        <f>D47/B47</f>
        <v>3118.2176226577053</v>
      </c>
    </row>
    <row r="48" spans="1:8" x14ac:dyDescent="0.3">
      <c r="A48" s="20" t="s">
        <v>40</v>
      </c>
      <c r="B48" s="17"/>
      <c r="C48" s="17"/>
      <c r="D48" s="17"/>
      <c r="E48" s="17"/>
    </row>
    <row r="49" spans="1:5" x14ac:dyDescent="0.3">
      <c r="A49" s="18" t="s">
        <v>4</v>
      </c>
      <c r="B49" s="18" t="s">
        <v>5</v>
      </c>
      <c r="C49" s="17"/>
      <c r="D49" s="4" t="s">
        <v>6</v>
      </c>
      <c r="E49" s="4" t="s">
        <v>7</v>
      </c>
    </row>
    <row r="50" spans="1:5" x14ac:dyDescent="0.3">
      <c r="A50" s="17"/>
      <c r="B50" s="18" t="s">
        <v>39</v>
      </c>
      <c r="C50" s="17"/>
      <c r="D50" s="4" t="s">
        <v>10</v>
      </c>
      <c r="E50" s="4" t="s">
        <v>10</v>
      </c>
    </row>
    <row r="51" spans="1:5" x14ac:dyDescent="0.3">
      <c r="A51" s="5" t="s">
        <v>41</v>
      </c>
      <c r="B51" s="15">
        <v>248.40199999999999</v>
      </c>
      <c r="C51" s="16"/>
      <c r="D51" s="7">
        <v>1111578.8999999999</v>
      </c>
      <c r="E51" s="7">
        <v>55578.95</v>
      </c>
    </row>
    <row r="52" spans="1:5" x14ac:dyDescent="0.3">
      <c r="A52" s="5" t="s">
        <v>12</v>
      </c>
      <c r="B52" s="22">
        <v>275429</v>
      </c>
      <c r="C52" s="16"/>
      <c r="D52" s="7">
        <v>953752888.95000005</v>
      </c>
      <c r="E52" s="7">
        <v>95215306.209999993</v>
      </c>
    </row>
    <row r="53" spans="1:5" x14ac:dyDescent="0.3">
      <c r="A53" s="5" t="s">
        <v>42</v>
      </c>
      <c r="B53" s="22">
        <v>7533.42</v>
      </c>
      <c r="C53" s="16"/>
      <c r="D53" s="7">
        <v>25630969.18</v>
      </c>
      <c r="E53" s="7">
        <v>1281548.46</v>
      </c>
    </row>
    <row r="54" spans="1:5" x14ac:dyDescent="0.3">
      <c r="A54" s="5" t="s">
        <v>43</v>
      </c>
      <c r="B54" s="22">
        <v>7692.1229999999996</v>
      </c>
      <c r="C54" s="16"/>
      <c r="D54" s="7">
        <v>32526613.629999999</v>
      </c>
      <c r="E54" s="7">
        <v>1626330.68</v>
      </c>
    </row>
    <row r="55" spans="1:5" x14ac:dyDescent="0.3">
      <c r="A55" s="5" t="s">
        <v>13</v>
      </c>
      <c r="B55" s="22">
        <v>6786.5119999999997</v>
      </c>
      <c r="C55" s="16"/>
      <c r="D55" s="7">
        <v>30369093.530000001</v>
      </c>
      <c r="E55" s="7">
        <v>1518454.69</v>
      </c>
    </row>
    <row r="56" spans="1:5" x14ac:dyDescent="0.3">
      <c r="A56" s="5" t="s">
        <v>44</v>
      </c>
      <c r="B56" s="22">
        <v>42394.364000000001</v>
      </c>
      <c r="C56" s="16"/>
      <c r="D56" s="7">
        <v>168169831.69</v>
      </c>
      <c r="E56" s="7">
        <v>8408491.6099999994</v>
      </c>
    </row>
    <row r="57" spans="1:5" x14ac:dyDescent="0.3">
      <c r="A57" s="5" t="s">
        <v>45</v>
      </c>
      <c r="B57" s="22">
        <v>3417.7089999999998</v>
      </c>
      <c r="C57" s="16"/>
      <c r="D57" s="7">
        <v>13759117.470000001</v>
      </c>
      <c r="E57" s="7">
        <v>687955.86</v>
      </c>
    </row>
    <row r="58" spans="1:5" x14ac:dyDescent="0.3">
      <c r="A58" s="5" t="s">
        <v>46</v>
      </c>
      <c r="B58" s="22">
        <v>233885</v>
      </c>
      <c r="C58" s="16"/>
      <c r="D58" s="7">
        <v>817977088.53999996</v>
      </c>
      <c r="E58" s="7">
        <v>102247136.06999999</v>
      </c>
    </row>
    <row r="59" spans="1:5" x14ac:dyDescent="0.3">
      <c r="A59" s="5" t="s">
        <v>47</v>
      </c>
      <c r="B59" s="22">
        <v>1086.2349999999999</v>
      </c>
      <c r="C59" s="16"/>
      <c r="D59" s="7">
        <v>4543743.82</v>
      </c>
      <c r="E59" s="7">
        <v>227187.19</v>
      </c>
    </row>
    <row r="60" spans="1:5" x14ac:dyDescent="0.3">
      <c r="A60" s="5" t="s">
        <v>48</v>
      </c>
      <c r="B60" s="22">
        <v>14110.369000000001</v>
      </c>
      <c r="C60" s="16"/>
      <c r="D60" s="7">
        <v>59666560.280000001</v>
      </c>
      <c r="E60" s="7">
        <v>2983328.01</v>
      </c>
    </row>
    <row r="61" spans="1:5" x14ac:dyDescent="0.3">
      <c r="A61" s="5" t="s">
        <v>49</v>
      </c>
      <c r="B61" s="15">
        <v>453.23500000000001</v>
      </c>
      <c r="C61" s="16"/>
      <c r="D61" s="7">
        <v>1818637.07</v>
      </c>
      <c r="E61" s="7">
        <v>90931.85</v>
      </c>
    </row>
    <row r="62" spans="1:5" x14ac:dyDescent="0.3">
      <c r="A62" s="5" t="s">
        <v>50</v>
      </c>
      <c r="B62" s="15">
        <v>686.93499999999995</v>
      </c>
      <c r="C62" s="16"/>
      <c r="D62" s="7">
        <v>2819878.82</v>
      </c>
      <c r="E62" s="7">
        <v>140993.94</v>
      </c>
    </row>
    <row r="63" spans="1:5" x14ac:dyDescent="0.3">
      <c r="A63" s="5" t="s">
        <v>51</v>
      </c>
      <c r="B63" s="22">
        <v>3721.0770000000002</v>
      </c>
      <c r="C63" s="16"/>
      <c r="D63" s="7">
        <v>14760756.710000001</v>
      </c>
      <c r="E63" s="7">
        <v>738037.84</v>
      </c>
    </row>
    <row r="64" spans="1:5" x14ac:dyDescent="0.3">
      <c r="A64" s="5" t="s">
        <v>52</v>
      </c>
      <c r="B64" s="22">
        <v>1705.068</v>
      </c>
      <c r="C64" s="16"/>
      <c r="D64" s="7">
        <v>6831002.0899999999</v>
      </c>
      <c r="E64" s="7">
        <v>341550.1</v>
      </c>
    </row>
    <row r="65" spans="1:5" x14ac:dyDescent="0.3">
      <c r="A65" s="5" t="s">
        <v>16</v>
      </c>
      <c r="B65" s="22">
        <v>131997</v>
      </c>
      <c r="C65" s="16"/>
      <c r="D65" s="7">
        <v>457237811.55000001</v>
      </c>
      <c r="E65" s="7">
        <v>31454754.649999999</v>
      </c>
    </row>
    <row r="66" spans="1:5" x14ac:dyDescent="0.3">
      <c r="A66" s="5" t="s">
        <v>17</v>
      </c>
      <c r="B66" s="22">
        <v>36581</v>
      </c>
      <c r="C66" s="16"/>
      <c r="D66" s="7">
        <v>126777902.67</v>
      </c>
      <c r="E66" s="7">
        <v>12656524.52</v>
      </c>
    </row>
    <row r="67" spans="1:5" x14ac:dyDescent="0.3">
      <c r="A67" s="5" t="s">
        <v>53</v>
      </c>
      <c r="B67" s="22">
        <v>301614</v>
      </c>
      <c r="C67" s="16"/>
      <c r="D67" s="7">
        <v>1061907038.08</v>
      </c>
      <c r="E67" s="7">
        <v>83887994.319999993</v>
      </c>
    </row>
    <row r="68" spans="1:5" x14ac:dyDescent="0.3">
      <c r="A68" s="5" t="s">
        <v>54</v>
      </c>
      <c r="B68" s="22">
        <v>1754.068</v>
      </c>
      <c r="C68" s="16"/>
      <c r="D68" s="7">
        <v>7337303.2800000003</v>
      </c>
      <c r="E68" s="7">
        <v>366865.16</v>
      </c>
    </row>
    <row r="69" spans="1:5" x14ac:dyDescent="0.3">
      <c r="A69" s="5" t="s">
        <v>55</v>
      </c>
      <c r="B69" s="22">
        <v>1567.6990000000001</v>
      </c>
      <c r="C69" s="16"/>
      <c r="D69" s="7">
        <v>6557717.8399999999</v>
      </c>
      <c r="E69" s="7">
        <v>327885.89</v>
      </c>
    </row>
    <row r="70" spans="1:5" x14ac:dyDescent="0.3">
      <c r="A70" s="5" t="s">
        <v>56</v>
      </c>
      <c r="B70" s="22">
        <v>6575.4279999999999</v>
      </c>
      <c r="C70" s="16"/>
      <c r="D70" s="7">
        <v>27505153.41</v>
      </c>
      <c r="E70" s="7">
        <v>1375257.67</v>
      </c>
    </row>
    <row r="71" spans="1:5" x14ac:dyDescent="0.3">
      <c r="A71" s="5" t="s">
        <v>57</v>
      </c>
      <c r="B71" s="15">
        <v>881.67899999999997</v>
      </c>
      <c r="C71" s="16"/>
      <c r="D71" s="7">
        <v>3688081.77</v>
      </c>
      <c r="E71" s="7">
        <v>184404.09</v>
      </c>
    </row>
    <row r="72" spans="1:5" x14ac:dyDescent="0.3">
      <c r="A72" s="5" t="s">
        <v>58</v>
      </c>
      <c r="B72" s="22">
        <v>10195.913</v>
      </c>
      <c r="C72" s="16"/>
      <c r="D72" s="7">
        <v>42649718.189999998</v>
      </c>
      <c r="E72" s="7">
        <v>2132485.91</v>
      </c>
    </row>
    <row r="73" spans="1:5" x14ac:dyDescent="0.3">
      <c r="A73" s="5" t="s">
        <v>59</v>
      </c>
      <c r="B73" s="22">
        <v>417662</v>
      </c>
      <c r="C73" s="16"/>
      <c r="D73" s="7">
        <v>1506872515.97</v>
      </c>
      <c r="E73" s="7">
        <v>138299789.58000001</v>
      </c>
    </row>
    <row r="74" spans="1:5" x14ac:dyDescent="0.3">
      <c r="A74" s="5" t="s">
        <v>60</v>
      </c>
      <c r="B74" s="15">
        <v>800.11199999999997</v>
      </c>
      <c r="C74" s="16"/>
      <c r="D74" s="7">
        <v>2986408.36</v>
      </c>
      <c r="E74" s="7">
        <v>149320.41</v>
      </c>
    </row>
    <row r="75" spans="1:5" x14ac:dyDescent="0.3">
      <c r="A75" s="5" t="s">
        <v>61</v>
      </c>
      <c r="B75" s="22">
        <v>269937</v>
      </c>
      <c r="C75" s="16"/>
      <c r="D75" s="7">
        <v>913193739.73000002</v>
      </c>
      <c r="E75" s="7">
        <v>69752822.920000002</v>
      </c>
    </row>
    <row r="76" spans="1:5" x14ac:dyDescent="0.3">
      <c r="A76" s="5" t="s">
        <v>62</v>
      </c>
      <c r="B76" s="15">
        <v>924.05</v>
      </c>
      <c r="C76" s="16"/>
      <c r="D76" s="7">
        <v>3869799.24</v>
      </c>
      <c r="E76" s="7">
        <v>193489.96</v>
      </c>
    </row>
    <row r="77" spans="1:5" x14ac:dyDescent="0.3">
      <c r="A77" s="5" t="s">
        <v>63</v>
      </c>
      <c r="B77" s="22">
        <v>740606.42799999996</v>
      </c>
      <c r="C77" s="16"/>
      <c r="D77" s="7">
        <v>2419373508.3499999</v>
      </c>
      <c r="E77" s="7">
        <v>302421688.54000002</v>
      </c>
    </row>
    <row r="78" spans="1:5" x14ac:dyDescent="0.3">
      <c r="A78" s="5" t="s">
        <v>30</v>
      </c>
      <c r="B78" s="22">
        <v>55738</v>
      </c>
      <c r="C78" s="16"/>
      <c r="D78" s="7">
        <v>193099324.34</v>
      </c>
      <c r="E78" s="7">
        <v>13283879.24</v>
      </c>
    </row>
    <row r="79" spans="1:5" x14ac:dyDescent="0.3">
      <c r="A79" s="5" t="s">
        <v>64</v>
      </c>
      <c r="B79" s="22">
        <v>2290.84</v>
      </c>
      <c r="C79" s="16"/>
      <c r="D79" s="7">
        <v>9582631.8300000001</v>
      </c>
      <c r="E79" s="7">
        <v>479131.6</v>
      </c>
    </row>
    <row r="80" spans="1:5" x14ac:dyDescent="0.3">
      <c r="A80" s="5" t="s">
        <v>65</v>
      </c>
      <c r="B80" s="22">
        <v>2068.904</v>
      </c>
      <c r="C80" s="16"/>
      <c r="D80" s="7">
        <v>6649744.6299999999</v>
      </c>
      <c r="E80" s="7">
        <v>332487.23</v>
      </c>
    </row>
    <row r="81" spans="1:8" x14ac:dyDescent="0.3">
      <c r="A81" s="5" t="s">
        <v>66</v>
      </c>
      <c r="B81" s="22">
        <v>1768.0070000000001</v>
      </c>
      <c r="C81" s="16"/>
      <c r="D81" s="7">
        <v>6893094.2000000002</v>
      </c>
      <c r="E81" s="7">
        <v>344654.71</v>
      </c>
    </row>
    <row r="82" spans="1:8" x14ac:dyDescent="0.3">
      <c r="A82" s="5" t="s">
        <v>67</v>
      </c>
      <c r="B82" s="15">
        <v>893.70600000000002</v>
      </c>
      <c r="C82" s="16"/>
      <c r="D82" s="7">
        <v>3657664.65</v>
      </c>
      <c r="E82" s="7">
        <v>182883.26</v>
      </c>
    </row>
    <row r="83" spans="1:8" x14ac:dyDescent="0.3">
      <c r="A83" s="5" t="s">
        <v>34</v>
      </c>
      <c r="B83" s="22">
        <v>478818</v>
      </c>
      <c r="C83" s="16"/>
      <c r="D83" s="7">
        <v>1598196821.1400001</v>
      </c>
      <c r="E83" s="7">
        <v>594529217.46000004</v>
      </c>
    </row>
    <row r="84" spans="1:8" x14ac:dyDescent="0.3">
      <c r="A84" s="4" t="s">
        <v>36</v>
      </c>
      <c r="B84" s="23">
        <v>3061823.2829999998</v>
      </c>
      <c r="C84" s="17"/>
      <c r="D84" s="8">
        <v>10531773739.91</v>
      </c>
      <c r="E84" s="8">
        <v>1467918368.5799999</v>
      </c>
      <c r="G84" s="24">
        <f>B84/30</f>
        <v>102060.77609999999</v>
      </c>
      <c r="H84" s="1">
        <f>D84/B84</f>
        <v>3439.7065952124058</v>
      </c>
    </row>
    <row r="85" spans="1:8" x14ac:dyDescent="0.3">
      <c r="A85" s="18" t="s">
        <v>36</v>
      </c>
      <c r="B85" s="19"/>
      <c r="C85" s="19"/>
      <c r="D85" s="8">
        <v>31135817148.669998</v>
      </c>
      <c r="E85" s="8">
        <v>6555810056.1199999</v>
      </c>
    </row>
    <row r="86" spans="1:8" x14ac:dyDescent="0.3">
      <c r="A86" s="2" t="s">
        <v>4</v>
      </c>
      <c r="B86" s="11" t="s">
        <v>5</v>
      </c>
      <c r="C86" s="12"/>
      <c r="D86" s="2" t="s">
        <v>6</v>
      </c>
      <c r="E86" s="2" t="s">
        <v>7</v>
      </c>
    </row>
    <row r="87" spans="1:8" x14ac:dyDescent="0.3">
      <c r="A87" s="3"/>
      <c r="B87" s="11" t="s">
        <v>39</v>
      </c>
      <c r="C87" s="12"/>
      <c r="D87" s="2" t="s">
        <v>10</v>
      </c>
      <c r="E87" s="2" t="s">
        <v>10</v>
      </c>
    </row>
    <row r="88" spans="1:8" x14ac:dyDescent="0.3">
      <c r="A88" s="9" t="s">
        <v>36</v>
      </c>
      <c r="B88" s="13">
        <v>0</v>
      </c>
      <c r="C88" s="14"/>
      <c r="D88" s="10">
        <v>0</v>
      </c>
      <c r="E88" s="10">
        <v>0</v>
      </c>
    </row>
    <row r="1048413" ht="12.75" customHeight="1" x14ac:dyDescent="0.3"/>
    <row r="1048414" ht="12.75" customHeight="1" x14ac:dyDescent="0.3"/>
    <row r="1048415" ht="12.75" customHeight="1" x14ac:dyDescent="0.3"/>
    <row r="1048416" ht="12.75" customHeight="1" x14ac:dyDescent="0.3"/>
    <row r="1048417" ht="12.75" customHeight="1" x14ac:dyDescent="0.3"/>
    <row r="1048418" ht="12.75" customHeight="1" x14ac:dyDescent="0.3"/>
    <row r="1048419" ht="12.75" customHeight="1" x14ac:dyDescent="0.3"/>
    <row r="1048420" ht="12.75" customHeight="1" x14ac:dyDescent="0.3"/>
    <row r="1048421" ht="12.75" customHeight="1" x14ac:dyDescent="0.3"/>
    <row r="1048422" ht="12.75" customHeight="1" x14ac:dyDescent="0.3"/>
    <row r="1048423" ht="12.75" customHeight="1" x14ac:dyDescent="0.3"/>
    <row r="1048424" ht="12.75" customHeight="1" x14ac:dyDescent="0.3"/>
    <row r="1048425" ht="12.75" customHeight="1" x14ac:dyDescent="0.3"/>
    <row r="1048426" ht="12.75" customHeight="1" x14ac:dyDescent="0.3"/>
    <row r="1048427" ht="12.75" customHeight="1" x14ac:dyDescent="0.3"/>
    <row r="1048428" ht="12.75" customHeight="1" x14ac:dyDescent="0.3"/>
    <row r="1048429" ht="12.75" customHeight="1" x14ac:dyDescent="0.3"/>
    <row r="1048430" ht="12.75" customHeight="1" x14ac:dyDescent="0.3"/>
    <row r="1048431" ht="12.75" customHeight="1" x14ac:dyDescent="0.3"/>
    <row r="1048432" ht="12.75" customHeight="1" x14ac:dyDescent="0.3"/>
    <row r="1048433" ht="12.75" customHeight="1" x14ac:dyDescent="0.3"/>
    <row r="1048434" ht="12.75" customHeight="1" x14ac:dyDescent="0.3"/>
    <row r="1048435" ht="12.75" customHeight="1" x14ac:dyDescent="0.3"/>
    <row r="1048436" ht="12.75" customHeight="1" x14ac:dyDescent="0.3"/>
    <row r="1048437" ht="12.75" customHeight="1" x14ac:dyDescent="0.3"/>
    <row r="1048438" ht="12.75" customHeight="1" x14ac:dyDescent="0.3"/>
    <row r="1048439" ht="12.75" customHeight="1" x14ac:dyDescent="0.3"/>
    <row r="1048440" ht="12.75" customHeight="1" x14ac:dyDescent="0.3"/>
    <row r="1048441" ht="12.75" customHeight="1" x14ac:dyDescent="0.3"/>
    <row r="1048442" ht="12.75" customHeight="1" x14ac:dyDescent="0.3"/>
    <row r="1048443" ht="12.75" customHeight="1" x14ac:dyDescent="0.3"/>
    <row r="1048444" ht="12.75" customHeight="1" x14ac:dyDescent="0.3"/>
    <row r="1048445" ht="12.75" customHeight="1" x14ac:dyDescent="0.3"/>
    <row r="1048446" ht="12.75" customHeight="1" x14ac:dyDescent="0.3"/>
    <row r="1048447" ht="12.75" customHeight="1" x14ac:dyDescent="0.3"/>
    <row r="1048448" ht="12.75" customHeight="1" x14ac:dyDescent="0.3"/>
    <row r="1048449" ht="12.75" customHeight="1" x14ac:dyDescent="0.3"/>
    <row r="1048450" ht="12.75" customHeight="1" x14ac:dyDescent="0.3"/>
    <row r="1048451" ht="12.75" customHeight="1" x14ac:dyDescent="0.3"/>
    <row r="1048452" ht="12.75" customHeight="1" x14ac:dyDescent="0.3"/>
    <row r="1048453" ht="12.75" customHeight="1" x14ac:dyDescent="0.3"/>
    <row r="1048454" ht="12.75" customHeight="1" x14ac:dyDescent="0.3"/>
    <row r="1048455" ht="12.75" customHeight="1" x14ac:dyDescent="0.3"/>
    <row r="1048456" ht="12.75" customHeight="1" x14ac:dyDescent="0.3"/>
    <row r="1048457" ht="12.75" customHeight="1" x14ac:dyDescent="0.3"/>
    <row r="1048458" ht="12.75" customHeight="1" x14ac:dyDescent="0.3"/>
    <row r="1048459" ht="12.75" customHeight="1" x14ac:dyDescent="0.3"/>
    <row r="1048460" ht="12.75" customHeight="1" x14ac:dyDescent="0.3"/>
    <row r="1048461" ht="12.75" customHeight="1" x14ac:dyDescent="0.3"/>
    <row r="1048462" ht="12.75" customHeight="1" x14ac:dyDescent="0.3"/>
    <row r="1048463" ht="12.75" customHeight="1" x14ac:dyDescent="0.3"/>
    <row r="1048464" ht="12.75" customHeight="1" x14ac:dyDescent="0.3"/>
    <row r="1048465" ht="12.75" customHeight="1" x14ac:dyDescent="0.3"/>
    <row r="1048466" ht="12.75" customHeight="1" x14ac:dyDescent="0.3"/>
    <row r="1048467" ht="12.75" customHeight="1" x14ac:dyDescent="0.3"/>
    <row r="1048468" ht="12.75" customHeight="1" x14ac:dyDescent="0.3"/>
    <row r="1048469" ht="12.75" customHeight="1" x14ac:dyDescent="0.3"/>
    <row r="1048470" ht="12.75" customHeight="1" x14ac:dyDescent="0.3"/>
    <row r="1048471" ht="12.75" customHeight="1" x14ac:dyDescent="0.3"/>
    <row r="1048472" ht="12.75" customHeight="1" x14ac:dyDescent="0.3"/>
    <row r="1048473" ht="12.75" customHeight="1" x14ac:dyDescent="0.3"/>
    <row r="1048474" ht="12.75" customHeight="1" x14ac:dyDescent="0.3"/>
    <row r="1048475" ht="12.75" customHeight="1" x14ac:dyDescent="0.3"/>
    <row r="1048476" ht="12.75" customHeight="1" x14ac:dyDescent="0.3"/>
    <row r="1048477" ht="12.75" customHeight="1" x14ac:dyDescent="0.3"/>
    <row r="1048478" ht="12.75" customHeight="1" x14ac:dyDescent="0.3"/>
    <row r="1048479" ht="12.75" customHeight="1" x14ac:dyDescent="0.3"/>
    <row r="1048480" ht="12.75" customHeight="1" x14ac:dyDescent="0.3"/>
    <row r="1048481" ht="12.75" customHeight="1" x14ac:dyDescent="0.3"/>
    <row r="1048482" ht="12.75" customHeight="1" x14ac:dyDescent="0.3"/>
    <row r="1048483" ht="12.75" customHeight="1" x14ac:dyDescent="0.3"/>
    <row r="1048484" ht="12.75" customHeight="1" x14ac:dyDescent="0.3"/>
    <row r="1048485" ht="12.75" customHeight="1" x14ac:dyDescent="0.3"/>
    <row r="1048486" ht="12.75" customHeight="1" x14ac:dyDescent="0.3"/>
    <row r="1048487" ht="12.75" customHeight="1" x14ac:dyDescent="0.3"/>
    <row r="1048488" ht="12.75" customHeight="1" x14ac:dyDescent="0.3"/>
    <row r="1048489" ht="12.75" customHeight="1" x14ac:dyDescent="0.3"/>
    <row r="1048490" ht="12.75" customHeight="1" x14ac:dyDescent="0.3"/>
    <row r="1048491" ht="12.75" customHeight="1" x14ac:dyDescent="0.3"/>
    <row r="1048492" ht="12.75" customHeight="1" x14ac:dyDescent="0.3"/>
    <row r="1048493" ht="12.75" customHeight="1" x14ac:dyDescent="0.3"/>
    <row r="1048494" ht="12.75" customHeight="1" x14ac:dyDescent="0.3"/>
    <row r="1048495" ht="12.75" customHeight="1" x14ac:dyDescent="0.3"/>
    <row r="1048496" ht="12.75" customHeight="1" x14ac:dyDescent="0.3"/>
    <row r="1048497" ht="12.75" customHeight="1" x14ac:dyDescent="0.3"/>
    <row r="1048498" ht="12.75" customHeight="1" x14ac:dyDescent="0.3"/>
    <row r="1048499" ht="12.75" customHeight="1" x14ac:dyDescent="0.3"/>
    <row r="1048500" ht="12.75" customHeight="1" x14ac:dyDescent="0.3"/>
    <row r="1048501" ht="12.75" customHeight="1" x14ac:dyDescent="0.3"/>
    <row r="1048502" ht="12.75" customHeight="1" x14ac:dyDescent="0.3"/>
    <row r="1048503" ht="12.75" customHeight="1" x14ac:dyDescent="0.3"/>
    <row r="1048504" ht="12.75" customHeight="1" x14ac:dyDescent="0.3"/>
    <row r="1048505" ht="12.75" customHeight="1" x14ac:dyDescent="0.3"/>
    <row r="1048506" ht="12.75" customHeight="1" x14ac:dyDescent="0.3"/>
    <row r="1048507" ht="12.75" customHeight="1" x14ac:dyDescent="0.3"/>
    <row r="1048508" ht="12.75" customHeight="1" x14ac:dyDescent="0.3"/>
    <row r="1048509" ht="12.75" customHeight="1" x14ac:dyDescent="0.3"/>
    <row r="1048510" ht="12.75" customHeight="1" x14ac:dyDescent="0.3"/>
    <row r="1048511" ht="12.75" customHeight="1" x14ac:dyDescent="0.3"/>
    <row r="1048512" ht="12.75" customHeight="1" x14ac:dyDescent="0.3"/>
    <row r="1048513" ht="12.75" customHeight="1" x14ac:dyDescent="0.3"/>
    <row r="1048514" ht="12.75" customHeight="1" x14ac:dyDescent="0.3"/>
    <row r="1048515" ht="12.75" customHeight="1" x14ac:dyDescent="0.3"/>
    <row r="1048516" ht="12.75" customHeight="1" x14ac:dyDescent="0.3"/>
    <row r="1048517" ht="12.75" customHeight="1" x14ac:dyDescent="0.3"/>
    <row r="1048518" ht="12.75" customHeight="1" x14ac:dyDescent="0.3"/>
    <row r="1048519" ht="12.75" customHeight="1" x14ac:dyDescent="0.3"/>
    <row r="1048520" ht="12.75" customHeight="1" x14ac:dyDescent="0.3"/>
    <row r="1048521" ht="12.75" customHeight="1" x14ac:dyDescent="0.3"/>
    <row r="1048522" ht="12.75" customHeight="1" x14ac:dyDescent="0.3"/>
    <row r="1048523" ht="12.75" customHeight="1" x14ac:dyDescent="0.3"/>
    <row r="1048524" ht="12.75" customHeight="1" x14ac:dyDescent="0.3"/>
    <row r="1048525" ht="12.75" customHeight="1" x14ac:dyDescent="0.3"/>
    <row r="1048526" ht="12.75" customHeight="1" x14ac:dyDescent="0.3"/>
    <row r="1048527" ht="12.75" customHeight="1" x14ac:dyDescent="0.3"/>
    <row r="1048528" ht="12.75" customHeight="1" x14ac:dyDescent="0.3"/>
    <row r="1048529" ht="12.75" customHeight="1" x14ac:dyDescent="0.3"/>
    <row r="1048530" ht="12.75" customHeight="1" x14ac:dyDescent="0.3"/>
    <row r="1048531" ht="12.75" customHeight="1" x14ac:dyDescent="0.3"/>
    <row r="1048532" ht="12.75" customHeight="1" x14ac:dyDescent="0.3"/>
    <row r="1048533" ht="12.75" customHeight="1" x14ac:dyDescent="0.3"/>
    <row r="1048534" ht="12.75" customHeight="1" x14ac:dyDescent="0.3"/>
    <row r="1048535" ht="12.75" customHeight="1" x14ac:dyDescent="0.3"/>
    <row r="1048536" ht="12.75" customHeight="1" x14ac:dyDescent="0.3"/>
    <row r="1048537" ht="12.75" customHeight="1" x14ac:dyDescent="0.3"/>
    <row r="1048538" ht="12.75" customHeight="1" x14ac:dyDescent="0.3"/>
    <row r="1048539" ht="12.75" customHeight="1" x14ac:dyDescent="0.3"/>
    <row r="1048540" ht="12.75" customHeight="1" x14ac:dyDescent="0.3"/>
    <row r="1048541" ht="12.75" customHeight="1" x14ac:dyDescent="0.3"/>
    <row r="1048542" ht="12.75" customHeight="1" x14ac:dyDescent="0.3"/>
    <row r="1048543" ht="12.75" customHeight="1" x14ac:dyDescent="0.3"/>
    <row r="1048544" ht="12.75" customHeight="1" x14ac:dyDescent="0.3"/>
    <row r="1048545" ht="12.75" customHeight="1" x14ac:dyDescent="0.3"/>
    <row r="1048546" ht="12.75" customHeight="1" x14ac:dyDescent="0.3"/>
    <row r="1048547" ht="12.75" customHeight="1" x14ac:dyDescent="0.3"/>
    <row r="1048548" ht="12.75" customHeight="1" x14ac:dyDescent="0.3"/>
    <row r="1048549" ht="12.75" customHeight="1" x14ac:dyDescent="0.3"/>
    <row r="1048550" ht="12.75" customHeight="1" x14ac:dyDescent="0.3"/>
    <row r="1048551" ht="12.75" customHeight="1" x14ac:dyDescent="0.3"/>
    <row r="1048552" ht="12.75" customHeight="1" x14ac:dyDescent="0.3"/>
    <row r="1048553" ht="12.75" customHeight="1" x14ac:dyDescent="0.3"/>
    <row r="1048554" ht="12.75" customHeight="1" x14ac:dyDescent="0.3"/>
    <row r="1048555" ht="12.75" customHeight="1" x14ac:dyDescent="0.3"/>
    <row r="1048556" ht="12.75" customHeight="1" x14ac:dyDescent="0.3"/>
    <row r="1048557" ht="12.75" customHeight="1" x14ac:dyDescent="0.3"/>
    <row r="1048558" ht="12.75" customHeight="1" x14ac:dyDescent="0.3"/>
    <row r="1048559" ht="12.75" customHeight="1" x14ac:dyDescent="0.3"/>
    <row r="1048560" ht="12.75" customHeight="1" x14ac:dyDescent="0.3"/>
    <row r="1048561" ht="12.75" customHeight="1" x14ac:dyDescent="0.3"/>
    <row r="1048562" ht="12.75" customHeight="1" x14ac:dyDescent="0.3"/>
    <row r="1048563" ht="12.75" customHeight="1" x14ac:dyDescent="0.3"/>
    <row r="1048564" ht="12.75" customHeight="1" x14ac:dyDescent="0.3"/>
    <row r="1048565" ht="12.75" customHeight="1" x14ac:dyDescent="0.3"/>
    <row r="1048566" ht="12.75" customHeight="1" x14ac:dyDescent="0.3"/>
    <row r="1048567" ht="12.75" customHeight="1" x14ac:dyDescent="0.3"/>
    <row r="1048568" ht="12.75" customHeight="1" x14ac:dyDescent="0.3"/>
    <row r="1048569" ht="12.75" customHeight="1" x14ac:dyDescent="0.3"/>
    <row r="1048570" ht="12.75" customHeight="1" x14ac:dyDescent="0.3"/>
    <row r="1048571" ht="12.75" customHeight="1" x14ac:dyDescent="0.3"/>
    <row r="1048572" ht="12.75" customHeight="1" x14ac:dyDescent="0.3"/>
    <row r="1048573" ht="12.75" customHeight="1" x14ac:dyDescent="0.3"/>
    <row r="1048574" ht="12.75" customHeight="1" x14ac:dyDescent="0.3"/>
    <row r="1048575" ht="12.75" customHeight="1" x14ac:dyDescent="0.3"/>
    <row r="1048576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63">
    <mergeCell ref="A1:E1"/>
    <mergeCell ref="A2:E2"/>
    <mergeCell ref="A3:E3"/>
    <mergeCell ref="A4:E4"/>
    <mergeCell ref="A5:A6"/>
    <mergeCell ref="B5:C5"/>
    <mergeCell ref="A34:E34"/>
    <mergeCell ref="A35:A36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A48:E48"/>
    <mergeCell ref="A49:A5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7:C87"/>
    <mergeCell ref="B88:C88"/>
    <mergeCell ref="B82:C82"/>
    <mergeCell ref="B83:C83"/>
    <mergeCell ref="B84:C84"/>
    <mergeCell ref="A85:C85"/>
    <mergeCell ref="B86:C86"/>
  </mergeCells>
  <pageMargins left="0.39374999999999999" right="0.39374999999999999" top="0.39374999999999999" bottom="0.39374999999999999" header="0.51180555555554996" footer="0.51180555555554996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9ead7b-6342-4494-9745-aa11ca9090cb">
      <Terms xmlns="http://schemas.microsoft.com/office/infopath/2007/PartnerControls"/>
    </lcf76f155ced4ddcb4097134ff3c332f>
    <TaxCatchAll xmlns="9e595a92-2a84-46d4-9885-e168ac7f98a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40CA4B69967448E5E142573FA85FC" ma:contentTypeVersion="17" ma:contentTypeDescription="Create a new document." ma:contentTypeScope="" ma:versionID="3f19dfd05c72a4aa217b148f0f00ef59">
  <xsd:schema xmlns:xsd="http://www.w3.org/2001/XMLSchema" xmlns:xs="http://www.w3.org/2001/XMLSchema" xmlns:p="http://schemas.microsoft.com/office/2006/metadata/properties" xmlns:ns2="7e9ead7b-6342-4494-9745-aa11ca9090cb" xmlns:ns3="9e595a92-2a84-46d4-9885-e168ac7f98a1" targetNamespace="http://schemas.microsoft.com/office/2006/metadata/properties" ma:root="true" ma:fieldsID="3d61ddcb55407106f5563e5e5e5e7a99" ns2:_="" ns3:_="">
    <xsd:import namespace="7e9ead7b-6342-4494-9745-aa11ca9090cb"/>
    <xsd:import namespace="9e595a92-2a84-46d4-9885-e168ac7f98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ead7b-6342-4494-9745-aa11ca909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b3741f9-8584-47b2-968f-3f53d9bbee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95a92-2a84-46d4-9885-e168ac7f98a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d5f833c-ae06-418d-979f-18c784237a1f}" ma:internalName="TaxCatchAll" ma:showField="CatchAllData" ma:web="9e595a92-2a84-46d4-9885-e168ac7f98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7F35EC-1762-4C4D-B3D3-A81CB52EBD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7A9CA8-FBA8-4F37-A685-2300923C7346}">
  <ds:schemaRefs>
    <ds:schemaRef ds:uri="http://schemas.microsoft.com/office/2006/metadata/properties"/>
    <ds:schemaRef ds:uri="http://schemas.microsoft.com/office/infopath/2007/PartnerControls"/>
    <ds:schemaRef ds:uri="7e9ead7b-6342-4494-9745-aa11ca9090cb"/>
    <ds:schemaRef ds:uri="9e595a92-2a84-46d4-9885-e168ac7f98a1"/>
  </ds:schemaRefs>
</ds:datastoreItem>
</file>

<file path=customXml/itemProps3.xml><?xml version="1.0" encoding="utf-8"?>
<ds:datastoreItem xmlns:ds="http://schemas.openxmlformats.org/officeDocument/2006/customXml" ds:itemID="{76B0213C-9C9A-43E2-896B-DA5E483089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เมษายน 2569</vt:lpstr>
      <vt:lpstr>'เมษายน 2569'!Print_Area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Pimpen Piyawanitchpong</cp:lastModifiedBy>
  <dcterms:created xsi:type="dcterms:W3CDTF">2019-03-30T03:25:20Z</dcterms:created>
  <dcterms:modified xsi:type="dcterms:W3CDTF">2026-06-17T07:57:24Z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ategory">
    <vt:lpwstr>Test result file</vt:lpwstr>
  </property>
  <property fmtid="{D5CDD505-2E9C-101B-9397-08002B2CF9AE}" pid="10" name="ContentTypeId">
    <vt:lpwstr>0x010100CCB40CA4B69967448E5E142573FA85FC</vt:lpwstr>
  </property>
  <property fmtid="{D5CDD505-2E9C-101B-9397-08002B2CF9AE}" pid="11" name="MediaServiceImageTags">
    <vt:lpwstr/>
  </property>
</Properties>
</file>