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37" documentId="11_27C97629DB1EC6BC15C2D7C2068D19DFE13B79AD" xr6:coauthVersionLast="47" xr6:coauthVersionMax="47" xr10:uidLastSave="{32D2AA44-FEC2-49AC-A5A6-40E0EC6D666A}"/>
  <bookViews>
    <workbookView xWindow="-108" yWindow="-108" windowWidth="23256" windowHeight="12456" xr2:uid="{00000000-000D-0000-FFFF-FFFF00000000}"/>
  </bookViews>
  <sheets>
    <sheet name="กุมภาพันธ์ 2569" sheetId="1" r:id="rId1"/>
  </sheets>
  <definedNames>
    <definedName name="_xlnm.Print_Area" localSheetId="0">'กุมภาพันธ์ 2569'!$A$1:$E$89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G94" i="1"/>
  <c r="D94" i="1"/>
  <c r="B94" i="1"/>
  <c r="D91" i="1"/>
  <c r="B93" i="1"/>
  <c r="B92" i="1"/>
  <c r="B91" i="1"/>
  <c r="G45" i="1"/>
  <c r="G32" i="1"/>
</calcChain>
</file>

<file path=xl/sharedStrings.xml><?xml version="1.0" encoding="utf-8"?>
<sst xmlns="http://schemas.openxmlformats.org/spreadsheetml/2006/main" count="336" uniqueCount="287">
  <si>
    <t>รายงานมูลค่าการขายปิโตรเลียมและค่าภาคหลวง</t>
  </si>
  <si>
    <t>กุมภาพันธ์ 2569</t>
  </si>
  <si>
    <t>แก้ไข10 เม.ย.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</si>
  <si>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</si>
  <si>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</si>
  <si>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</si>
  <si>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</si>
  <si>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</si>
  <si>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</si>
  <si>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</si>
  <si>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</si>
  <si>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</si>
  <si>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9,608.3030</t>
  </si>
  <si>
    <t>9,472,905.0000</t>
  </si>
  <si>
    <t>2,425,722,046.90</t>
  </si>
  <si>
    <t>303,215,255.86</t>
  </si>
  <si>
    <t>เบญจมาศ</t>
  </si>
  <si>
    <t>986,892.0000</t>
  </si>
  <si>
    <t>212,989,802.29</t>
  </si>
  <si>
    <t>21,114,275.60</t>
  </si>
  <si>
    <t>บูรพา</t>
  </si>
  <si>
    <t>38,300.64</t>
  </si>
  <si>
    <t>1,915.03</t>
  </si>
  <si>
    <t>ชบา</t>
  </si>
  <si>
    <t>100,232.0000</t>
  </si>
  <si>
    <t>21,811,585.76</t>
  </si>
  <si>
    <t>2,162,243.58</t>
  </si>
  <si>
    <t>G12/48</t>
  </si>
  <si>
    <t>131,107.0000</t>
  </si>
  <si>
    <t>35,075,199.93</t>
  </si>
  <si>
    <t>1,753,760.00</t>
  </si>
  <si>
    <t>ลันตา</t>
  </si>
  <si>
    <t>124,885.0000</t>
  </si>
  <si>
    <t>26,925,016.74</t>
  </si>
  <si>
    <t>1,941,507.91</t>
  </si>
  <si>
    <t>มะลิวัลย์</t>
  </si>
  <si>
    <t>1,102.4250</t>
  </si>
  <si>
    <t>1,161,162.0000</t>
  </si>
  <si>
    <t>250,050,312.60</t>
  </si>
  <si>
    <t>24,788,187.78</t>
  </si>
  <si>
    <t>มรกต_G7/50</t>
  </si>
  <si>
    <t>30,034.0000</t>
  </si>
  <si>
    <t>6,918,199.75</t>
  </si>
  <si>
    <t>345,909.99</t>
  </si>
  <si>
    <t>มรกต</t>
  </si>
  <si>
    <t>3,878.9049</t>
  </si>
  <si>
    <t>3,831,795.0000</t>
  </si>
  <si>
    <t>882,637,118.35</t>
  </si>
  <si>
    <t>110,329,639.79</t>
  </si>
  <si>
    <t>น้ำพอง</t>
  </si>
  <si>
    <t>144,820.0000</t>
  </si>
  <si>
    <t>25,372,176.96</t>
  </si>
  <si>
    <t>3,171,522.12</t>
  </si>
  <si>
    <t>ไพลินเหนือ</t>
  </si>
  <si>
    <t>5,147.6253</t>
  </si>
  <si>
    <t>4,980,456.0000</t>
  </si>
  <si>
    <t>1,147,226,125.59</t>
  </si>
  <si>
    <t>143,403,265.70</t>
  </si>
  <si>
    <t>ตราด</t>
  </si>
  <si>
    <t>27,002.0000</t>
  </si>
  <si>
    <t>5,338,317.00</t>
  </si>
  <si>
    <t>667,289.63</t>
  </si>
  <si>
    <t>ไพลิน</t>
  </si>
  <si>
    <t>2,850.5967</t>
  </si>
  <si>
    <t>2,805,414.0000</t>
  </si>
  <si>
    <t>646,214,771.08</t>
  </si>
  <si>
    <t>80,776,846.39</t>
  </si>
  <si>
    <t>สินภูฮ่อม_E5N</t>
  </si>
  <si>
    <t>596,759.0000</t>
  </si>
  <si>
    <t>110,697,608.01</t>
  </si>
  <si>
    <t>13,837,201.00</t>
  </si>
  <si>
    <t>สินภูฮ่อม_EU1</t>
  </si>
  <si>
    <t>2,388.6960</t>
  </si>
  <si>
    <t>2,387,036.0000</t>
  </si>
  <si>
    <t>442,790,432.01</t>
  </si>
  <si>
    <t>55,348,804.00</t>
  </si>
  <si>
    <t>สิริกิติ์_NGV</t>
  </si>
  <si>
    <t>83,156.0000</t>
  </si>
  <si>
    <t>18,016,919.90</t>
  </si>
  <si>
    <t>2,252,114.99</t>
  </si>
  <si>
    <t>สิริกิติ์_ประดู่เฒ่า_A</t>
  </si>
  <si>
    <t>5,928.4230</t>
  </si>
  <si>
    <t>337,564.41</t>
  </si>
  <si>
    <t>42,195.55</t>
  </si>
  <si>
    <t>สิริกิติ์_เสาเถียร</t>
  </si>
  <si>
    <t>9,778.4550</t>
  </si>
  <si>
    <t>602,480.93</t>
  </si>
  <si>
    <t>75,310.12</t>
  </si>
  <si>
    <t>สิริกิติ์_กลุ่มแม่บ้าน</t>
  </si>
  <si>
    <t>3,144.4630</t>
  </si>
  <si>
    <t>624,899.13</t>
  </si>
  <si>
    <t>78,112.39</t>
  </si>
  <si>
    <t>สุรินทร์</t>
  </si>
  <si>
    <t>14,383.0000</t>
  </si>
  <si>
    <t>3,113,148.07</t>
  </si>
  <si>
    <t>224,482.74</t>
  </si>
  <si>
    <t>ตราด_11A</t>
  </si>
  <si>
    <t>12,700.7350</t>
  </si>
  <si>
    <t>2,510,945.47</t>
  </si>
  <si>
    <t>313,868.18</t>
  </si>
  <si>
    <t>ยะลา_10A</t>
  </si>
  <si>
    <t>26,089.0000</t>
  </si>
  <si>
    <t>5,157,816.17</t>
  </si>
  <si>
    <t>644,727.02</t>
  </si>
  <si>
    <t>ยุงทอง</t>
  </si>
  <si>
    <t>17,002.27</t>
  </si>
  <si>
    <t>G1/61</t>
  </si>
  <si>
    <t>22,872.0960</t>
  </si>
  <si>
    <t>20,792,250.0000</t>
  </si>
  <si>
    <t>2,945,617,265.25</t>
  </si>
  <si>
    <t>1,095,769,622.67</t>
  </si>
  <si>
    <t>G2/61</t>
  </si>
  <si>
    <t>19,745.6850</t>
  </si>
  <si>
    <t>19,081,586.0000</t>
  </si>
  <si>
    <t>2,703,269,207.03</t>
  </si>
  <si>
    <t>1,027,242,298.67</t>
  </si>
  <si>
    <t>รวมทั้งหมด</t>
  </si>
  <si>
    <t>69,867.7145</t>
  </si>
  <si>
    <t>66,810,348.1140</t>
  </si>
  <si>
    <t>11,919,074,262.24</t>
  </si>
  <si>
    <t>2,889,501,206.82</t>
  </si>
  <si>
    <t>สิริกิติ์ (LPG*, kgs.)</t>
  </si>
  <si>
    <t>3,931,340.0000</t>
  </si>
  <si>
    <t>67,804,712.02</t>
  </si>
  <si>
    <t>8,475,588.99</t>
  </si>
  <si>
    <t>ก๊าซธรรมชาติเหลว</t>
  </si>
  <si>
    <t>(บาร์เรล)</t>
  </si>
  <si>
    <t>503,142.0000</t>
  </si>
  <si>
    <t>942,745,296.81</t>
  </si>
  <si>
    <t>117,843,162.10</t>
  </si>
  <si>
    <t>1,773.0000</t>
  </si>
  <si>
    <t>3,457,467.46</t>
  </si>
  <si>
    <t>172,873.37</t>
  </si>
  <si>
    <t>118,379.0000</t>
  </si>
  <si>
    <t>244,288,449.58</t>
  </si>
  <si>
    <t>30,536,056.20</t>
  </si>
  <si>
    <t>135,667.0000</t>
  </si>
  <si>
    <t>280,014,484.41</t>
  </si>
  <si>
    <t>35,001,810.55</t>
  </si>
  <si>
    <t>71,406.0000</t>
  </si>
  <si>
    <t>147,377,943.12</t>
  </si>
  <si>
    <t>18,422,242.89</t>
  </si>
  <si>
    <t>1,152.5400</t>
  </si>
  <si>
    <t>2,261,414.41</t>
  </si>
  <si>
    <t>282,676.79</t>
  </si>
  <si>
    <t>4,610.0600</t>
  </si>
  <si>
    <t>9,045,461.40</t>
  </si>
  <si>
    <t>1,130,682.69</t>
  </si>
  <si>
    <t>597,239.0000</t>
  </si>
  <si>
    <t>1,106,273,284.15</t>
  </si>
  <si>
    <t>420,383,847.99</t>
  </si>
  <si>
    <t>1,433,368.6000</t>
  </si>
  <si>
    <t>2,735,463,801.34</t>
  </si>
  <si>
    <t>623,773,352.58</t>
  </si>
  <si>
    <t>น้ำมันดิบ</t>
  </si>
  <si>
    <t>AA</t>
  </si>
  <si>
    <t>1,307,717.88</t>
  </si>
  <si>
    <t>65,385.89</t>
  </si>
  <si>
    <t>อรุโณทัย</t>
  </si>
  <si>
    <t>1,107,884.97</t>
  </si>
  <si>
    <t>55,394.25</t>
  </si>
  <si>
    <t>265,588.0000</t>
  </si>
  <si>
    <t>582,724,131.79</t>
  </si>
  <si>
    <t>57,767,075.15</t>
  </si>
  <si>
    <t>บัวหลวง</t>
  </si>
  <si>
    <t>305,185.2600</t>
  </si>
  <si>
    <t>654,898,880.54</t>
  </si>
  <si>
    <t>52,087,914.32</t>
  </si>
  <si>
    <t>บึงหญ้าหนองสา</t>
  </si>
  <si>
    <t>7,926.8290</t>
  </si>
  <si>
    <t>17,786,103.97</t>
  </si>
  <si>
    <t>889,305.20</t>
  </si>
  <si>
    <t>4,970.1150</t>
  </si>
  <si>
    <t>11,263,284.55</t>
  </si>
  <si>
    <t>563,164.23</t>
  </si>
  <si>
    <t>ดีดี</t>
  </si>
  <si>
    <t>39,909.7860</t>
  </si>
  <si>
    <t>86,055,456.12</t>
  </si>
  <si>
    <t>4,302,772.75</t>
  </si>
  <si>
    <t>นาสนุนตะวันออก</t>
  </si>
  <si>
    <t>3,130.9010</t>
  </si>
  <si>
    <t>6,838,014.90</t>
  </si>
  <si>
    <t>341,900.74</t>
  </si>
  <si>
    <t>จัสมิน</t>
  </si>
  <si>
    <t>205,458.0000</t>
  </si>
  <si>
    <t>446,918,540.11</t>
  </si>
  <si>
    <t>55,864,817.51</t>
  </si>
  <si>
    <t>กำแพงแสน</t>
  </si>
  <si>
    <t>1,089.0670</t>
  </si>
  <si>
    <t>2,434,987.18</t>
  </si>
  <si>
    <t>121,749.36</t>
  </si>
  <si>
    <t>L1/64 บึงหญ้า</t>
  </si>
  <si>
    <t>14,347.3250</t>
  </si>
  <si>
    <t>32,192,319.80</t>
  </si>
  <si>
    <t>1,609,615.99</t>
  </si>
  <si>
    <t>L53A</t>
  </si>
  <si>
    <t>1,179,730.98</t>
  </si>
  <si>
    <t>58,986.55</t>
  </si>
  <si>
    <t>L53D</t>
  </si>
  <si>
    <t>4,513.8090</t>
  </si>
  <si>
    <t>9,732,898.39</t>
  </si>
  <si>
    <t>486,644.92</t>
  </si>
  <si>
    <t>L53G</t>
  </si>
  <si>
    <t>1,555.6560</t>
  </si>
  <si>
    <t>3,393,033.63</t>
  </si>
  <si>
    <t>169,651.68</t>
  </si>
  <si>
    <t>150,303.0000</t>
  </si>
  <si>
    <t>329,623,899.52</t>
  </si>
  <si>
    <t>23,768,505.45</t>
  </si>
  <si>
    <t>45,977.0000</t>
  </si>
  <si>
    <t>100,962,940.21</t>
  </si>
  <si>
    <t>10,008,739.02</t>
  </si>
  <si>
    <t>หนองผักชี_เอ</t>
  </si>
  <si>
    <t>1,773.0580</t>
  </si>
  <si>
    <t>3,964,286.41</t>
  </si>
  <si>
    <t>198,214.32</t>
  </si>
  <si>
    <t>หนองผักชี_บี</t>
  </si>
  <si>
    <t>1,159.0350</t>
  </si>
  <si>
    <t>2,591,424.93</t>
  </si>
  <si>
    <t>129,571.25</t>
  </si>
  <si>
    <t>หนองผักชี_ซี</t>
  </si>
  <si>
    <t>6,814.3890</t>
  </si>
  <si>
    <t>15,235,931.20</t>
  </si>
  <si>
    <t>761,796.56</t>
  </si>
  <si>
    <t>หนองผักชี_ดี</t>
  </si>
  <si>
    <t>2,008,991.26</t>
  </si>
  <si>
    <t>100,449.56</t>
  </si>
  <si>
    <t>หนองผักชี จี</t>
  </si>
  <si>
    <t>10,034.3560</t>
  </si>
  <si>
    <t>22,435,284.76</t>
  </si>
  <si>
    <t>1,121,764.24</t>
  </si>
  <si>
    <t>นงเยาว์</t>
  </si>
  <si>
    <t>331,971.0000</t>
  </si>
  <si>
    <t>734,858,209.37</t>
  </si>
  <si>
    <t>61,143,275.08</t>
  </si>
  <si>
    <t>บ่อรังเหนือ</t>
  </si>
  <si>
    <t>1,842,224.98</t>
  </si>
  <si>
    <t>92,111.25</t>
  </si>
  <si>
    <t>รสสุคนธ์</t>
  </si>
  <si>
    <t>310,240.0000</t>
  </si>
  <si>
    <t>636,214,628.22</t>
  </si>
  <si>
    <t>51,073,121.83</t>
  </si>
  <si>
    <t>สังขจาย</t>
  </si>
  <si>
    <t>1,516,555.21</t>
  </si>
  <si>
    <t>75,827.76</t>
  </si>
  <si>
    <t>สิริกิติ์</t>
  </si>
  <si>
    <t>686,444.8170</t>
  </si>
  <si>
    <t>1,372,357,580.94</t>
  </si>
  <si>
    <t>171,544,697.63</t>
  </si>
  <si>
    <t>64,330.0000</t>
  </si>
  <si>
    <t>141,190,583.33</t>
  </si>
  <si>
    <t>10,180,964.28</t>
  </si>
  <si>
    <t>อู่ทอง</t>
  </si>
  <si>
    <t>1,557.6720</t>
  </si>
  <si>
    <t>3,482,716.27</t>
  </si>
  <si>
    <t>174,135.81</t>
  </si>
  <si>
    <t>วังไผ่สูง</t>
  </si>
  <si>
    <t>1,153.2870</t>
  </si>
  <si>
    <t>2,243,007.93</t>
  </si>
  <si>
    <t>112,150.40</t>
  </si>
  <si>
    <t>วาสนา</t>
  </si>
  <si>
    <t>171,003.0000</t>
  </si>
  <si>
    <t>340,042,116.05</t>
  </si>
  <si>
    <t>21,327,425.29</t>
  </si>
  <si>
    <t>วิเชียรบุรีศรีเทพ</t>
  </si>
  <si>
    <t>1,922.4570</t>
  </si>
  <si>
    <t>4,135,625.06</t>
  </si>
  <si>
    <t>206,781.25</t>
  </si>
  <si>
    <t>วิเชียรบุรีส่วนขยาย-3</t>
  </si>
  <si>
    <t>1,985.1120</t>
  </si>
  <si>
    <t>4,352,675.48</t>
  </si>
  <si>
    <t>217,633.77</t>
  </si>
  <si>
    <t>2,644,424.4110</t>
  </si>
  <si>
    <t>5,576,891,665.94</t>
  </si>
  <si>
    <t>526,621,543.29</t>
  </si>
  <si>
    <t>20,299,234,441.54</t>
  </si>
  <si>
    <t>4,048,371,691.68</t>
  </si>
  <si>
    <t>1) บัวหลวง ส่งออกน้ำมันดิบ</t>
  </si>
  <si>
    <t>299,367.0000</t>
  </si>
  <si>
    <t>642,413,441.50</t>
  </si>
  <si>
    <t>51,094,874.79</t>
  </si>
  <si>
    <t>2) รสสุคนธ์ ส่งออกน้ำมันดิบ</t>
  </si>
  <si>
    <t>3) วาสนา ส่งออกน้ำมันดิบ</t>
  </si>
  <si>
    <t>780,610.0000</t>
  </si>
  <si>
    <t>1,618,670,185.77</t>
  </si>
  <si>
    <t>123,495,421.91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</si>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</sst>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 x14ac:knownFonts="1"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10"/>
      <color rgb="FF000000"/>
      <name val="Calibri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4" fontId="2" fillId="2" borderId="3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75" workbookViewId="0">
      <selection activeCell="G89" sqref="G89"/>
    </sheetView>
  </sheetViews>
  <sheetFormatPr defaultRowHeight="14.4" x14ac:dyDescent="0.3"/>
  <cols>
    <col min="1" max="1" width="28.6640625" style="1" customWidth="1"/>
    <col min="2" max="3" width="14" style="1" customWidth="1"/>
    <col min="4" max="5" width="19.33203125" style="1" customWidth="1"/>
    <col min="6" max="1025" width="8.6640625" style="1" customWidth="1"/>
  </cols>
  <sheetData>
    <row r="1" spans="1:5" ht="17.100000000000001" customHeight="1" x14ac:dyDescent="0.3">
      <c r="A1" s="15" t="s">
        <v>0</v>
      </c>
      <c r="B1" s="15"/>
      <c r="C1" s="15"/>
      <c r="D1" s="15"/>
      <c r="E1" s="15"/>
    </row>
    <row r="2" spans="1:5" ht="17.100000000000001" customHeight="1" x14ac:dyDescent="0.3">
      <c r="A2" s="15" t="s">
        <v>1</v>
      </c>
      <c r="B2" s="15"/>
      <c r="C2" s="15"/>
      <c r="D2" s="15"/>
      <c r="E2" s="15"/>
    </row>
    <row r="3" spans="1:5" ht="17.100000000000001" customHeight="1" x14ac:dyDescent="0.3">
      <c r="A3" s="28" t="s">
        <v>2</v>
      </c>
      <c r="B3" s="28"/>
      <c r="C3" s="28"/>
      <c r="D3" s="28"/>
      <c r="E3" s="28"/>
    </row>
    <row r="4" spans="1:5" x14ac:dyDescent="0.3">
      <c r="A4" s="27" t="s">
        <v>3</v>
      </c>
      <c r="B4" s="24"/>
      <c r="C4" s="24"/>
      <c r="D4" s="24"/>
      <c r="E4" s="24"/>
    </row>
    <row r="5" spans="1:5" x14ac:dyDescent="0.3">
      <c r="A5" s="25" t="s">
        <v>4</v>
      </c>
      <c r="B5" s="25" t="s">
        <v>5</v>
      </c>
      <c r="C5" s="24"/>
      <c r="D5" s="4" t="s">
        <v>6</v>
      </c>
      <c r="E5" s="4" t="s">
        <v>7</v>
      </c>
    </row>
    <row r="6" spans="1:5" x14ac:dyDescent="0.3">
      <c r="A6" s="24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6" t="s">
        <v>12</v>
      </c>
      <c r="C7" s="6" t="s">
        <v>13</v>
      </c>
      <c r="D7" s="7" t="s">
        <v>14</v>
      </c>
      <c r="E7" s="7" t="s">
        <v>15</v>
      </c>
    </row>
    <row r="8" spans="1:5" x14ac:dyDescent="0.3">
      <c r="A8" s="5" t="s">
        <v>16</v>
      </c>
      <c r="B8" s="6">
        <v>936.49549999999999</v>
      </c>
      <c r="C8" s="6" t="s">
        <v>17</v>
      </c>
      <c r="D8" s="7" t="s">
        <v>18</v>
      </c>
      <c r="E8" s="7" t="s">
        <v>19</v>
      </c>
    </row>
    <row r="9" spans="1:5" x14ac:dyDescent="0.3">
      <c r="A9" s="5" t="s">
        <v>20</v>
      </c>
      <c r="B9" s="6">
        <v>0.41649999999999998</v>
      </c>
      <c r="C9" s="6">
        <v>747.03800000000001</v>
      </c>
      <c r="D9" s="7" t="s">
        <v>21</v>
      </c>
      <c r="E9" s="7" t="s">
        <v>22</v>
      </c>
    </row>
    <row r="10" spans="1:5" x14ac:dyDescent="0.3">
      <c r="A10" s="5" t="s">
        <v>23</v>
      </c>
      <c r="B10" s="6">
        <v>125.0321</v>
      </c>
      <c r="C10" s="6" t="s">
        <v>24</v>
      </c>
      <c r="D10" s="7" t="s">
        <v>25</v>
      </c>
      <c r="E10" s="7" t="s">
        <v>26</v>
      </c>
    </row>
    <row r="11" spans="1:5" x14ac:dyDescent="0.3">
      <c r="A11" s="5" t="s">
        <v>27</v>
      </c>
      <c r="B11" s="6">
        <v>135.45599999999999</v>
      </c>
      <c r="C11" s="6" t="s">
        <v>28</v>
      </c>
      <c r="D11" s="7" t="s">
        <v>29</v>
      </c>
      <c r="E11" s="7" t="s">
        <v>30</v>
      </c>
    </row>
    <row r="12" spans="1:5" x14ac:dyDescent="0.3">
      <c r="A12" s="5" t="s">
        <v>31</v>
      </c>
      <c r="B12" s="6">
        <v>118.495</v>
      </c>
      <c r="C12" s="6" t="s">
        <v>32</v>
      </c>
      <c r="D12" s="7" t="s">
        <v>33</v>
      </c>
      <c r="E12" s="7" t="s">
        <v>34</v>
      </c>
    </row>
    <row r="13" spans="1:5" x14ac:dyDescent="0.3">
      <c r="A13" s="5" t="s">
        <v>35</v>
      </c>
      <c r="B13" s="6" t="s">
        <v>36</v>
      </c>
      <c r="C13" s="6" t="s">
        <v>37</v>
      </c>
      <c r="D13" s="7" t="s">
        <v>38</v>
      </c>
      <c r="E13" s="7" t="s">
        <v>39</v>
      </c>
    </row>
    <row r="14" spans="1:5" x14ac:dyDescent="0.3">
      <c r="A14" s="5" t="s">
        <v>40</v>
      </c>
      <c r="B14" s="6">
        <v>30.410499999999999</v>
      </c>
      <c r="C14" s="6" t="s">
        <v>41</v>
      </c>
      <c r="D14" s="7" t="s">
        <v>42</v>
      </c>
      <c r="E14" s="7" t="s">
        <v>43</v>
      </c>
    </row>
    <row r="15" spans="1:5" x14ac:dyDescent="0.3">
      <c r="A15" s="5" t="s">
        <v>44</v>
      </c>
      <c r="B15" s="6" t="s">
        <v>45</v>
      </c>
      <c r="C15" s="6" t="s">
        <v>46</v>
      </c>
      <c r="D15" s="7" t="s">
        <v>47</v>
      </c>
      <c r="E15" s="7" t="s">
        <v>48</v>
      </c>
    </row>
    <row r="16" spans="1:5" x14ac:dyDescent="0.3">
      <c r="A16" s="5" t="s">
        <v>49</v>
      </c>
      <c r="B16" s="6">
        <v>154.35169999999999</v>
      </c>
      <c r="C16" s="6" t="s">
        <v>50</v>
      </c>
      <c r="D16" s="7" t="s">
        <v>51</v>
      </c>
      <c r="E16" s="7" t="s">
        <v>52</v>
      </c>
    </row>
    <row r="17" spans="1:7" x14ac:dyDescent="0.3">
      <c r="A17" s="5" t="s">
        <v>53</v>
      </c>
      <c r="B17" s="6" t="s">
        <v>54</v>
      </c>
      <c r="C17" s="6" t="s">
        <v>55</v>
      </c>
      <c r="D17" s="7" t="s">
        <v>56</v>
      </c>
      <c r="E17" s="7" t="s">
        <v>57</v>
      </c>
    </row>
    <row r="18" spans="1:7" x14ac:dyDescent="0.3">
      <c r="A18" s="5" t="s">
        <v>58</v>
      </c>
      <c r="B18" s="6">
        <v>28.806999999999999</v>
      </c>
      <c r="C18" s="6" t="s">
        <v>59</v>
      </c>
      <c r="D18" s="7" t="s">
        <v>60</v>
      </c>
      <c r="E18" s="7" t="s">
        <v>61</v>
      </c>
    </row>
    <row r="19" spans="1:7" x14ac:dyDescent="0.3">
      <c r="A19" s="5" t="s">
        <v>62</v>
      </c>
      <c r="B19" s="6" t="s">
        <v>63</v>
      </c>
      <c r="C19" s="6" t="s">
        <v>64</v>
      </c>
      <c r="D19" s="7" t="s">
        <v>65</v>
      </c>
      <c r="E19" s="7" t="s">
        <v>66</v>
      </c>
    </row>
    <row r="20" spans="1:7" x14ac:dyDescent="0.3">
      <c r="A20" s="5" t="s">
        <v>67</v>
      </c>
      <c r="B20" s="6">
        <v>597.17399999999998</v>
      </c>
      <c r="C20" s="6" t="s">
        <v>68</v>
      </c>
      <c r="D20" s="7" t="s">
        <v>69</v>
      </c>
      <c r="E20" s="7" t="s">
        <v>70</v>
      </c>
    </row>
    <row r="21" spans="1:7" x14ac:dyDescent="0.3">
      <c r="A21" s="5" t="s">
        <v>71</v>
      </c>
      <c r="B21" s="6" t="s">
        <v>72</v>
      </c>
      <c r="C21" s="6" t="s">
        <v>73</v>
      </c>
      <c r="D21" s="7" t="s">
        <v>74</v>
      </c>
      <c r="E21" s="7" t="s">
        <v>75</v>
      </c>
    </row>
    <row r="22" spans="1:7" x14ac:dyDescent="0.3">
      <c r="A22" s="5" t="s">
        <v>76</v>
      </c>
      <c r="B22" s="6">
        <v>76.150000000000006</v>
      </c>
      <c r="C22" s="6" t="s">
        <v>77</v>
      </c>
      <c r="D22" s="7" t="s">
        <v>78</v>
      </c>
      <c r="E22" s="7" t="s">
        <v>79</v>
      </c>
    </row>
    <row r="23" spans="1:7" x14ac:dyDescent="0.3">
      <c r="A23" s="5" t="s">
        <v>80</v>
      </c>
      <c r="B23" s="6">
        <v>3.5750000000000002</v>
      </c>
      <c r="C23" s="6" t="s">
        <v>81</v>
      </c>
      <c r="D23" s="7" t="s">
        <v>82</v>
      </c>
      <c r="E23" s="7" t="s">
        <v>83</v>
      </c>
    </row>
    <row r="24" spans="1:7" x14ac:dyDescent="0.3">
      <c r="A24" s="5" t="s">
        <v>84</v>
      </c>
      <c r="B24" s="6">
        <v>6.1479999999999997</v>
      </c>
      <c r="C24" s="6" t="s">
        <v>85</v>
      </c>
      <c r="D24" s="7" t="s">
        <v>86</v>
      </c>
      <c r="E24" s="7" t="s">
        <v>87</v>
      </c>
    </row>
    <row r="25" spans="1:7" x14ac:dyDescent="0.3">
      <c r="A25" s="5" t="s">
        <v>88</v>
      </c>
      <c r="B25" s="6">
        <v>2.331</v>
      </c>
      <c r="C25" s="6" t="s">
        <v>89</v>
      </c>
      <c r="D25" s="7" t="s">
        <v>90</v>
      </c>
      <c r="E25" s="7" t="s">
        <v>91</v>
      </c>
    </row>
    <row r="26" spans="1:7" x14ac:dyDescent="0.3">
      <c r="A26" s="5" t="s">
        <v>92</v>
      </c>
      <c r="B26" s="6">
        <v>13.6226</v>
      </c>
      <c r="C26" s="6" t="s">
        <v>93</v>
      </c>
      <c r="D26" s="7" t="s">
        <v>94</v>
      </c>
      <c r="E26" s="7" t="s">
        <v>95</v>
      </c>
    </row>
    <row r="27" spans="1:7" x14ac:dyDescent="0.3">
      <c r="A27" s="5" t="s">
        <v>96</v>
      </c>
      <c r="B27" s="6">
        <v>12.1777</v>
      </c>
      <c r="C27" s="6" t="s">
        <v>97</v>
      </c>
      <c r="D27" s="7" t="s">
        <v>98</v>
      </c>
      <c r="E27" s="7" t="s">
        <v>99</v>
      </c>
    </row>
    <row r="28" spans="1:7" x14ac:dyDescent="0.3">
      <c r="A28" s="5" t="s">
        <v>100</v>
      </c>
      <c r="B28" s="6">
        <v>32.633899999999997</v>
      </c>
      <c r="C28" s="6" t="s">
        <v>101</v>
      </c>
      <c r="D28" s="7" t="s">
        <v>102</v>
      </c>
      <c r="E28" s="7" t="s">
        <v>103</v>
      </c>
    </row>
    <row r="29" spans="1:7" x14ac:dyDescent="0.3">
      <c r="A29" s="5" t="s">
        <v>104</v>
      </c>
      <c r="B29" s="6">
        <v>0.1061</v>
      </c>
      <c r="C29" s="6">
        <v>86</v>
      </c>
      <c r="D29" s="7" t="s">
        <v>105</v>
      </c>
      <c r="E29" s="7">
        <v>850.11</v>
      </c>
    </row>
    <row r="30" spans="1:7" x14ac:dyDescent="0.3">
      <c r="A30" s="5" t="s">
        <v>106</v>
      </c>
      <c r="B30" s="6" t="s">
        <v>107</v>
      </c>
      <c r="C30" s="6" t="s">
        <v>108</v>
      </c>
      <c r="D30" s="7" t="s">
        <v>109</v>
      </c>
      <c r="E30" s="7" t="s">
        <v>110</v>
      </c>
    </row>
    <row r="31" spans="1:7" x14ac:dyDescent="0.3">
      <c r="A31" s="5" t="s">
        <v>111</v>
      </c>
      <c r="B31" s="6" t="s">
        <v>112</v>
      </c>
      <c r="C31" s="6" t="s">
        <v>113</v>
      </c>
      <c r="D31" s="7" t="s">
        <v>114</v>
      </c>
      <c r="E31" s="7" t="s">
        <v>115</v>
      </c>
    </row>
    <row r="32" spans="1:7" x14ac:dyDescent="0.3">
      <c r="A32" s="4" t="s">
        <v>116</v>
      </c>
      <c r="B32" s="8" t="s">
        <v>117</v>
      </c>
      <c r="C32" s="8" t="s">
        <v>118</v>
      </c>
      <c r="D32" s="9" t="s">
        <v>119</v>
      </c>
      <c r="E32" s="9" t="s">
        <v>120</v>
      </c>
      <c r="G32" s="1">
        <f>B32/28</f>
        <v>2495.2755178571429</v>
      </c>
    </row>
    <row r="33" spans="1:7" x14ac:dyDescent="0.3">
      <c r="A33" s="5" t="s">
        <v>121</v>
      </c>
      <c r="B33" s="6">
        <v>0</v>
      </c>
      <c r="C33" s="6" t="s">
        <v>122</v>
      </c>
      <c r="D33" s="7" t="s">
        <v>123</v>
      </c>
      <c r="E33" s="7" t="s">
        <v>124</v>
      </c>
    </row>
    <row r="34" spans="1:7" x14ac:dyDescent="0.3">
      <c r="A34" s="27" t="s">
        <v>125</v>
      </c>
      <c r="B34" s="24"/>
      <c r="C34" s="24"/>
      <c r="D34" s="24"/>
      <c r="E34" s="24"/>
    </row>
    <row r="35" spans="1:7" x14ac:dyDescent="0.3">
      <c r="A35" s="25" t="s">
        <v>4</v>
      </c>
      <c r="B35" s="25" t="s">
        <v>5</v>
      </c>
      <c r="C35" s="24"/>
      <c r="D35" s="4" t="s">
        <v>6</v>
      </c>
      <c r="E35" s="4" t="s">
        <v>7</v>
      </c>
    </row>
    <row r="36" spans="1:7" x14ac:dyDescent="0.3">
      <c r="A36" s="24"/>
      <c r="B36" s="25" t="s">
        <v>126</v>
      </c>
      <c r="C36" s="24"/>
      <c r="D36" s="4" t="s">
        <v>10</v>
      </c>
      <c r="E36" s="4" t="s">
        <v>10</v>
      </c>
    </row>
    <row r="37" spans="1:7" x14ac:dyDescent="0.3">
      <c r="A37" s="5" t="s">
        <v>11</v>
      </c>
      <c r="B37" s="21" t="s">
        <v>127</v>
      </c>
      <c r="C37" s="22"/>
      <c r="D37" s="7" t="s">
        <v>128</v>
      </c>
      <c r="E37" s="7" t="s">
        <v>129</v>
      </c>
    </row>
    <row r="38" spans="1:7" x14ac:dyDescent="0.3">
      <c r="A38" s="5" t="s">
        <v>40</v>
      </c>
      <c r="B38" s="21" t="s">
        <v>130</v>
      </c>
      <c r="C38" s="22"/>
      <c r="D38" s="7" t="s">
        <v>131</v>
      </c>
      <c r="E38" s="7" t="s">
        <v>132</v>
      </c>
    </row>
    <row r="39" spans="1:7" x14ac:dyDescent="0.3">
      <c r="A39" s="5" t="s">
        <v>44</v>
      </c>
      <c r="B39" s="21" t="s">
        <v>133</v>
      </c>
      <c r="C39" s="22"/>
      <c r="D39" s="7" t="s">
        <v>134</v>
      </c>
      <c r="E39" s="7" t="s">
        <v>135</v>
      </c>
    </row>
    <row r="40" spans="1:7" x14ac:dyDescent="0.3">
      <c r="A40" s="5" t="s">
        <v>53</v>
      </c>
      <c r="B40" s="21" t="s">
        <v>136</v>
      </c>
      <c r="C40" s="22"/>
      <c r="D40" s="7" t="s">
        <v>137</v>
      </c>
      <c r="E40" s="7" t="s">
        <v>138</v>
      </c>
    </row>
    <row r="41" spans="1:7" x14ac:dyDescent="0.3">
      <c r="A41" s="5" t="s">
        <v>62</v>
      </c>
      <c r="B41" s="21" t="s">
        <v>139</v>
      </c>
      <c r="C41" s="22"/>
      <c r="D41" s="7" t="s">
        <v>140</v>
      </c>
      <c r="E41" s="7" t="s">
        <v>141</v>
      </c>
    </row>
    <row r="42" spans="1:7" x14ac:dyDescent="0.3">
      <c r="A42" s="5" t="s">
        <v>67</v>
      </c>
      <c r="B42" s="21" t="s">
        <v>142</v>
      </c>
      <c r="C42" s="22"/>
      <c r="D42" s="7" t="s">
        <v>143</v>
      </c>
      <c r="E42" s="7" t="s">
        <v>144</v>
      </c>
    </row>
    <row r="43" spans="1:7" x14ac:dyDescent="0.3">
      <c r="A43" s="5" t="s">
        <v>71</v>
      </c>
      <c r="B43" s="21" t="s">
        <v>145</v>
      </c>
      <c r="C43" s="22"/>
      <c r="D43" s="7" t="s">
        <v>146</v>
      </c>
      <c r="E43" s="7" t="s">
        <v>147</v>
      </c>
    </row>
    <row r="44" spans="1:7" x14ac:dyDescent="0.3">
      <c r="A44" s="5" t="s">
        <v>111</v>
      </c>
      <c r="B44" s="21" t="s">
        <v>148</v>
      </c>
      <c r="C44" s="22"/>
      <c r="D44" s="7" t="s">
        <v>149</v>
      </c>
      <c r="E44" s="7" t="s">
        <v>150</v>
      </c>
    </row>
    <row r="45" spans="1:7" x14ac:dyDescent="0.3">
      <c r="A45" s="4" t="s">
        <v>116</v>
      </c>
      <c r="B45" s="23" t="s">
        <v>151</v>
      </c>
      <c r="C45" s="24"/>
      <c r="D45" s="9" t="s">
        <v>152</v>
      </c>
      <c r="E45" s="9" t="s">
        <v>153</v>
      </c>
      <c r="G45" s="1">
        <f>B45/28</f>
        <v>51191.735714285714</v>
      </c>
    </row>
    <row r="46" spans="1:7" x14ac:dyDescent="0.3">
      <c r="A46" s="27" t="s">
        <v>154</v>
      </c>
      <c r="B46" s="24"/>
      <c r="C46" s="24"/>
      <c r="D46" s="24"/>
      <c r="E46" s="24"/>
    </row>
    <row r="47" spans="1:7" x14ac:dyDescent="0.3">
      <c r="A47" s="25" t="s">
        <v>4</v>
      </c>
      <c r="B47" s="25" t="s">
        <v>5</v>
      </c>
      <c r="C47" s="24"/>
      <c r="D47" s="4" t="s">
        <v>6</v>
      </c>
      <c r="E47" s="4" t="s">
        <v>7</v>
      </c>
    </row>
    <row r="48" spans="1:7" x14ac:dyDescent="0.3">
      <c r="A48" s="24"/>
      <c r="B48" s="25" t="s">
        <v>126</v>
      </c>
      <c r="C48" s="24"/>
      <c r="D48" s="4" t="s">
        <v>10</v>
      </c>
      <c r="E48" s="4" t="s">
        <v>10</v>
      </c>
    </row>
    <row r="49" spans="1:5" x14ac:dyDescent="0.3">
      <c r="A49" s="5" t="s">
        <v>155</v>
      </c>
      <c r="B49" s="21">
        <v>606.47799999999995</v>
      </c>
      <c r="C49" s="22"/>
      <c r="D49" s="7" t="s">
        <v>156</v>
      </c>
      <c r="E49" s="7" t="s">
        <v>157</v>
      </c>
    </row>
    <row r="50" spans="1:5" x14ac:dyDescent="0.3">
      <c r="A50" s="5" t="s">
        <v>158</v>
      </c>
      <c r="B50" s="21">
        <v>488.87299999999999</v>
      </c>
      <c r="C50" s="22"/>
      <c r="D50" s="7" t="s">
        <v>159</v>
      </c>
      <c r="E50" s="7" t="s">
        <v>160</v>
      </c>
    </row>
    <row r="51" spans="1:5" x14ac:dyDescent="0.3">
      <c r="A51" s="5" t="s">
        <v>16</v>
      </c>
      <c r="B51" s="21" t="s">
        <v>161</v>
      </c>
      <c r="C51" s="22"/>
      <c r="D51" s="7" t="s">
        <v>162</v>
      </c>
      <c r="E51" s="7" t="s">
        <v>163</v>
      </c>
    </row>
    <row r="52" spans="1:5" x14ac:dyDescent="0.3">
      <c r="A52" s="5" t="s">
        <v>164</v>
      </c>
      <c r="B52" s="21" t="s">
        <v>165</v>
      </c>
      <c r="C52" s="22"/>
      <c r="D52" s="7" t="s">
        <v>166</v>
      </c>
      <c r="E52" s="7" t="s">
        <v>167</v>
      </c>
    </row>
    <row r="53" spans="1:5" x14ac:dyDescent="0.3">
      <c r="A53" s="5" t="s">
        <v>168</v>
      </c>
      <c r="B53" s="21" t="s">
        <v>169</v>
      </c>
      <c r="C53" s="22"/>
      <c r="D53" s="7" t="s">
        <v>170</v>
      </c>
      <c r="E53" s="7" t="s">
        <v>171</v>
      </c>
    </row>
    <row r="54" spans="1:5" x14ac:dyDescent="0.3">
      <c r="A54" s="5" t="s">
        <v>20</v>
      </c>
      <c r="B54" s="21" t="s">
        <v>172</v>
      </c>
      <c r="C54" s="22"/>
      <c r="D54" s="7" t="s">
        <v>173</v>
      </c>
      <c r="E54" s="7" t="s">
        <v>174</v>
      </c>
    </row>
    <row r="55" spans="1:5" x14ac:dyDescent="0.3">
      <c r="A55" s="5" t="s">
        <v>175</v>
      </c>
      <c r="B55" s="21" t="s">
        <v>176</v>
      </c>
      <c r="C55" s="22"/>
      <c r="D55" s="7" t="s">
        <v>177</v>
      </c>
      <c r="E55" s="7" t="s">
        <v>178</v>
      </c>
    </row>
    <row r="56" spans="1:5" x14ac:dyDescent="0.3">
      <c r="A56" s="5" t="s">
        <v>179</v>
      </c>
      <c r="B56" s="21" t="s">
        <v>180</v>
      </c>
      <c r="C56" s="22"/>
      <c r="D56" s="7" t="s">
        <v>181</v>
      </c>
      <c r="E56" s="7" t="s">
        <v>182</v>
      </c>
    </row>
    <row r="57" spans="1:5" x14ac:dyDescent="0.3">
      <c r="A57" s="5" t="s">
        <v>183</v>
      </c>
      <c r="B57" s="21" t="s">
        <v>184</v>
      </c>
      <c r="C57" s="22"/>
      <c r="D57" s="7" t="s">
        <v>185</v>
      </c>
      <c r="E57" s="7" t="s">
        <v>186</v>
      </c>
    </row>
    <row r="58" spans="1:5" x14ac:dyDescent="0.3">
      <c r="A58" s="5" t="s">
        <v>187</v>
      </c>
      <c r="B58" s="21" t="s">
        <v>188</v>
      </c>
      <c r="C58" s="22"/>
      <c r="D58" s="7" t="s">
        <v>189</v>
      </c>
      <c r="E58" s="7" t="s">
        <v>190</v>
      </c>
    </row>
    <row r="59" spans="1:5" x14ac:dyDescent="0.3">
      <c r="A59" s="5" t="s">
        <v>191</v>
      </c>
      <c r="B59" s="21" t="s">
        <v>192</v>
      </c>
      <c r="C59" s="22"/>
      <c r="D59" s="7" t="s">
        <v>193</v>
      </c>
      <c r="E59" s="7" t="s">
        <v>194</v>
      </c>
    </row>
    <row r="60" spans="1:5" x14ac:dyDescent="0.3">
      <c r="A60" s="5" t="s">
        <v>195</v>
      </c>
      <c r="B60" s="21">
        <v>539.53700000000003</v>
      </c>
      <c r="C60" s="22"/>
      <c r="D60" s="7" t="s">
        <v>196</v>
      </c>
      <c r="E60" s="7" t="s">
        <v>197</v>
      </c>
    </row>
    <row r="61" spans="1:5" x14ac:dyDescent="0.3">
      <c r="A61" s="5" t="s">
        <v>198</v>
      </c>
      <c r="B61" s="21" t="s">
        <v>199</v>
      </c>
      <c r="C61" s="22"/>
      <c r="D61" s="7" t="s">
        <v>200</v>
      </c>
      <c r="E61" s="7" t="s">
        <v>201</v>
      </c>
    </row>
    <row r="62" spans="1:5" x14ac:dyDescent="0.3">
      <c r="A62" s="5" t="s">
        <v>202</v>
      </c>
      <c r="B62" s="21" t="s">
        <v>203</v>
      </c>
      <c r="C62" s="22"/>
      <c r="D62" s="7" t="s">
        <v>204</v>
      </c>
      <c r="E62" s="7" t="s">
        <v>205</v>
      </c>
    </row>
    <row r="63" spans="1:5" x14ac:dyDescent="0.3">
      <c r="A63" s="5" t="s">
        <v>31</v>
      </c>
      <c r="B63" s="21" t="s">
        <v>206</v>
      </c>
      <c r="C63" s="22"/>
      <c r="D63" s="7" t="s">
        <v>207</v>
      </c>
      <c r="E63" s="7" t="s">
        <v>208</v>
      </c>
    </row>
    <row r="64" spans="1:5" x14ac:dyDescent="0.3">
      <c r="A64" s="5" t="s">
        <v>35</v>
      </c>
      <c r="B64" s="21" t="s">
        <v>209</v>
      </c>
      <c r="C64" s="22"/>
      <c r="D64" s="7" t="s">
        <v>210</v>
      </c>
      <c r="E64" s="7" t="s">
        <v>211</v>
      </c>
    </row>
    <row r="65" spans="1:5" x14ac:dyDescent="0.3">
      <c r="A65" s="5" t="s">
        <v>212</v>
      </c>
      <c r="B65" s="21" t="s">
        <v>213</v>
      </c>
      <c r="C65" s="22"/>
      <c r="D65" s="7" t="s">
        <v>214</v>
      </c>
      <c r="E65" s="7" t="s">
        <v>215</v>
      </c>
    </row>
    <row r="66" spans="1:5" x14ac:dyDescent="0.3">
      <c r="A66" s="5" t="s">
        <v>216</v>
      </c>
      <c r="B66" s="21" t="s">
        <v>217</v>
      </c>
      <c r="C66" s="22"/>
      <c r="D66" s="7" t="s">
        <v>218</v>
      </c>
      <c r="E66" s="7" t="s">
        <v>219</v>
      </c>
    </row>
    <row r="67" spans="1:5" x14ac:dyDescent="0.3">
      <c r="A67" s="5" t="s">
        <v>220</v>
      </c>
      <c r="B67" s="21" t="s">
        <v>221</v>
      </c>
      <c r="C67" s="22"/>
      <c r="D67" s="7" t="s">
        <v>222</v>
      </c>
      <c r="E67" s="7" t="s">
        <v>223</v>
      </c>
    </row>
    <row r="68" spans="1:5" x14ac:dyDescent="0.3">
      <c r="A68" s="5" t="s">
        <v>224</v>
      </c>
      <c r="B68" s="21">
        <v>898.53700000000003</v>
      </c>
      <c r="C68" s="22"/>
      <c r="D68" s="7" t="s">
        <v>225</v>
      </c>
      <c r="E68" s="7" t="s">
        <v>226</v>
      </c>
    </row>
    <row r="69" spans="1:5" x14ac:dyDescent="0.3">
      <c r="A69" s="5" t="s">
        <v>227</v>
      </c>
      <c r="B69" s="21" t="s">
        <v>228</v>
      </c>
      <c r="C69" s="22"/>
      <c r="D69" s="7" t="s">
        <v>229</v>
      </c>
      <c r="E69" s="7" t="s">
        <v>230</v>
      </c>
    </row>
    <row r="70" spans="1:5" x14ac:dyDescent="0.3">
      <c r="A70" s="5" t="s">
        <v>231</v>
      </c>
      <c r="B70" s="21" t="s">
        <v>232</v>
      </c>
      <c r="C70" s="22"/>
      <c r="D70" s="7" t="s">
        <v>233</v>
      </c>
      <c r="E70" s="7" t="s">
        <v>234</v>
      </c>
    </row>
    <row r="71" spans="1:5" x14ac:dyDescent="0.3">
      <c r="A71" s="5" t="s">
        <v>235</v>
      </c>
      <c r="B71" s="21">
        <v>871.18200000000002</v>
      </c>
      <c r="C71" s="22"/>
      <c r="D71" s="7" t="s">
        <v>236</v>
      </c>
      <c r="E71" s="7" t="s">
        <v>237</v>
      </c>
    </row>
    <row r="72" spans="1:5" x14ac:dyDescent="0.3">
      <c r="A72" s="5" t="s">
        <v>238</v>
      </c>
      <c r="B72" s="21" t="s">
        <v>239</v>
      </c>
      <c r="C72" s="22"/>
      <c r="D72" s="7" t="s">
        <v>240</v>
      </c>
      <c r="E72" s="7" t="s">
        <v>241</v>
      </c>
    </row>
    <row r="73" spans="1:5" x14ac:dyDescent="0.3">
      <c r="A73" s="5" t="s">
        <v>242</v>
      </c>
      <c r="B73" s="21">
        <v>676.87300000000005</v>
      </c>
      <c r="C73" s="22"/>
      <c r="D73" s="7" t="s">
        <v>243</v>
      </c>
      <c r="E73" s="7" t="s">
        <v>244</v>
      </c>
    </row>
    <row r="74" spans="1:5" x14ac:dyDescent="0.3">
      <c r="A74" s="5" t="s">
        <v>245</v>
      </c>
      <c r="B74" s="21" t="s">
        <v>246</v>
      </c>
      <c r="C74" s="22"/>
      <c r="D74" s="7" t="s">
        <v>247</v>
      </c>
      <c r="E74" s="7" t="s">
        <v>248</v>
      </c>
    </row>
    <row r="75" spans="1:5" x14ac:dyDescent="0.3">
      <c r="A75" s="5" t="s">
        <v>92</v>
      </c>
      <c r="B75" s="21" t="s">
        <v>249</v>
      </c>
      <c r="C75" s="22"/>
      <c r="D75" s="7" t="s">
        <v>250</v>
      </c>
      <c r="E75" s="7" t="s">
        <v>251</v>
      </c>
    </row>
    <row r="76" spans="1:5" x14ac:dyDescent="0.3">
      <c r="A76" s="5" t="s">
        <v>252</v>
      </c>
      <c r="B76" s="21" t="s">
        <v>253</v>
      </c>
      <c r="C76" s="22"/>
      <c r="D76" s="7" t="s">
        <v>254</v>
      </c>
      <c r="E76" s="7" t="s">
        <v>255</v>
      </c>
    </row>
    <row r="77" spans="1:5" x14ac:dyDescent="0.3">
      <c r="A77" s="5" t="s">
        <v>256</v>
      </c>
      <c r="B77" s="21" t="s">
        <v>257</v>
      </c>
      <c r="C77" s="22"/>
      <c r="D77" s="7" t="s">
        <v>258</v>
      </c>
      <c r="E77" s="7" t="s">
        <v>259</v>
      </c>
    </row>
    <row r="78" spans="1:5" x14ac:dyDescent="0.3">
      <c r="A78" s="5" t="s">
        <v>260</v>
      </c>
      <c r="B78" s="21" t="s">
        <v>261</v>
      </c>
      <c r="C78" s="22"/>
      <c r="D78" s="7" t="s">
        <v>262</v>
      </c>
      <c r="E78" s="7" t="s">
        <v>263</v>
      </c>
    </row>
    <row r="79" spans="1:5" x14ac:dyDescent="0.3">
      <c r="A79" s="5" t="s">
        <v>264</v>
      </c>
      <c r="B79" s="21" t="s">
        <v>265</v>
      </c>
      <c r="C79" s="22"/>
      <c r="D79" s="7" t="s">
        <v>266</v>
      </c>
      <c r="E79" s="7" t="s">
        <v>267</v>
      </c>
    </row>
    <row r="80" spans="1:5" x14ac:dyDescent="0.3">
      <c r="A80" s="5" t="s">
        <v>268</v>
      </c>
      <c r="B80" s="21" t="s">
        <v>269</v>
      </c>
      <c r="C80" s="22"/>
      <c r="D80" s="7" t="s">
        <v>270</v>
      </c>
      <c r="E80" s="7" t="s">
        <v>271</v>
      </c>
    </row>
    <row r="81" spans="1:7" x14ac:dyDescent="0.3">
      <c r="A81" s="4" t="s">
        <v>116</v>
      </c>
      <c r="B81" s="23" t="s">
        <v>272</v>
      </c>
      <c r="C81" s="24"/>
      <c r="D81" s="9" t="s">
        <v>273</v>
      </c>
      <c r="E81" s="9" t="s">
        <v>274</v>
      </c>
    </row>
    <row r="82" spans="1:7" x14ac:dyDescent="0.3">
      <c r="A82" s="25" t="s">
        <v>116</v>
      </c>
      <c r="B82" s="26"/>
      <c r="C82" s="26"/>
      <c r="D82" s="9" t="s">
        <v>275</v>
      </c>
      <c r="E82" s="9" t="s">
        <v>276</v>
      </c>
    </row>
    <row r="83" spans="1:7" x14ac:dyDescent="0.3">
      <c r="A83" s="2" t="s">
        <v>4</v>
      </c>
      <c r="B83" s="15" t="s">
        <v>5</v>
      </c>
      <c r="C83" s="16"/>
      <c r="D83" s="2" t="s">
        <v>6</v>
      </c>
      <c r="E83" s="2" t="s">
        <v>7</v>
      </c>
    </row>
    <row r="84" spans="1:7" x14ac:dyDescent="0.3">
      <c r="A84" s="3"/>
      <c r="B84" s="15" t="s">
        <v>126</v>
      </c>
      <c r="C84" s="16"/>
      <c r="D84" s="2" t="s">
        <v>10</v>
      </c>
      <c r="E84" s="2" t="s">
        <v>10</v>
      </c>
    </row>
    <row r="85" spans="1:7" x14ac:dyDescent="0.3">
      <c r="A85" s="10" t="s">
        <v>277</v>
      </c>
      <c r="B85" s="17" t="s">
        <v>278</v>
      </c>
      <c r="C85" s="18"/>
      <c r="D85" s="11" t="s">
        <v>279</v>
      </c>
      <c r="E85" s="11" t="s">
        <v>280</v>
      </c>
    </row>
    <row r="86" spans="1:7" x14ac:dyDescent="0.3">
      <c r="A86" s="10" t="s">
        <v>281</v>
      </c>
      <c r="B86" s="17" t="s">
        <v>239</v>
      </c>
      <c r="C86" s="18"/>
      <c r="D86" s="11" t="s">
        <v>240</v>
      </c>
      <c r="E86" s="11" t="s">
        <v>241</v>
      </c>
    </row>
    <row r="87" spans="1:7" x14ac:dyDescent="0.3">
      <c r="A87" s="10" t="s">
        <v>282</v>
      </c>
      <c r="B87" s="17" t="s">
        <v>261</v>
      </c>
      <c r="C87" s="18"/>
      <c r="D87" s="11" t="s">
        <v>262</v>
      </c>
      <c r="E87" s="11" t="s">
        <v>263</v>
      </c>
    </row>
    <row r="88" spans="1:7" x14ac:dyDescent="0.3">
      <c r="A88" s="12" t="s">
        <v>116</v>
      </c>
      <c r="B88" s="19" t="s">
        <v>283</v>
      </c>
      <c r="C88" s="20"/>
      <c r="D88" s="13" t="s">
        <v>284</v>
      </c>
      <c r="E88" s="13" t="s">
        <v>285</v>
      </c>
      <c r="G88" s="1">
        <f>B88/28</f>
        <v>27878.928571428572</v>
      </c>
    </row>
    <row r="90" spans="1:7" x14ac:dyDescent="0.3">
      <c r="A90" s="29" t="s">
        <v>286</v>
      </c>
      <c r="C90" s="14"/>
      <c r="D90" s="14"/>
    </row>
    <row r="91" spans="1:7" x14ac:dyDescent="0.3">
      <c r="A91" s="10" t="s">
        <v>277</v>
      </c>
      <c r="B91" s="17">
        <f>B52-B85</f>
        <v>5818.2600000000093</v>
      </c>
      <c r="C91" s="18"/>
      <c r="D91" s="11">
        <f>D52-D85</f>
        <v>12485439.039999962</v>
      </c>
      <c r="E91" s="11"/>
    </row>
    <row r="92" spans="1:7" x14ac:dyDescent="0.3">
      <c r="A92" s="10" t="s">
        <v>281</v>
      </c>
      <c r="B92" s="17">
        <f>B72-B86</f>
        <v>0</v>
      </c>
      <c r="C92" s="18"/>
      <c r="D92" s="11">
        <v>0</v>
      </c>
      <c r="E92" s="11"/>
    </row>
    <row r="93" spans="1:7" x14ac:dyDescent="0.3">
      <c r="A93" s="10" t="s">
        <v>282</v>
      </c>
      <c r="B93" s="17">
        <f>B78-B87</f>
        <v>0</v>
      </c>
      <c r="C93" s="18"/>
      <c r="D93" s="11">
        <v>0</v>
      </c>
      <c r="E93" s="11"/>
    </row>
    <row r="94" spans="1:7" ht="15" thickBot="1" x14ac:dyDescent="0.35">
      <c r="A94" s="12" t="s">
        <v>116</v>
      </c>
      <c r="B94" s="19">
        <f>B81-B88</f>
        <v>1863814.4109999998</v>
      </c>
      <c r="C94" s="20"/>
      <c r="D94" s="13">
        <f>D81-D88</f>
        <v>3958221480.1699996</v>
      </c>
      <c r="E94" s="13" t="s">
        <v>285</v>
      </c>
      <c r="G94" s="1">
        <f>B94/28</f>
        <v>66564.800392857142</v>
      </c>
    </row>
    <row r="95" spans="1:7" ht="15" thickTop="1" x14ac:dyDescent="0.3"/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7">
    <mergeCell ref="B91:C91"/>
    <mergeCell ref="B92:C92"/>
    <mergeCell ref="B93:C93"/>
    <mergeCell ref="B94:C94"/>
    <mergeCell ref="A1:E1"/>
    <mergeCell ref="A2:E2"/>
    <mergeCell ref="A3:E3"/>
    <mergeCell ref="A4:E4"/>
    <mergeCell ref="A5:A6"/>
    <mergeCell ref="B5:C5"/>
    <mergeCell ref="A34:E34"/>
    <mergeCell ref="A35:A3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A46:E46"/>
    <mergeCell ref="A47:A48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A82:C82"/>
    <mergeCell ref="B83:C83"/>
    <mergeCell ref="B84:C84"/>
    <mergeCell ref="B85:C85"/>
    <mergeCell ref="B86:C86"/>
    <mergeCell ref="B87:C87"/>
    <mergeCell ref="B88:C88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Props1.xml><?xml version="1.0" encoding="utf-8"?>
<ds:datastoreItem xmlns:ds="http://schemas.openxmlformats.org/officeDocument/2006/customXml" ds:itemID="{8D81536B-ACB4-45B9-9658-ACCDE611784A}"/>
</file>

<file path=customXml/itemProps2.xml><?xml version="1.0" encoding="utf-8"?>
<ds:datastoreItem xmlns:ds="http://schemas.openxmlformats.org/officeDocument/2006/customXml" ds:itemID="{251ED0E2-8EDD-457A-83E9-406B7E4C87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300848-BC84-4C32-A4FF-547081CE72EF}">
  <ds:schemaRefs>
    <ds:schemaRef ds:uri="http://schemas.microsoft.com/office/2006/metadata/properties"/>
    <ds:schemaRef ds:uri="http://schemas.microsoft.com/office/infopath/2007/PartnerControls"/>
    <ds:schemaRef ds:uri="7e9ead7b-6342-4494-9745-aa11ca9090cb"/>
    <ds:schemaRef ds:uri="9e595a92-2a84-46d4-9885-e168ac7f98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กุมภาพันธ์ 2569</vt:lpstr>
      <vt:lpstr>'กุมภาพันธ์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Pimpen Piyawanitchpong</cp:lastModifiedBy>
  <dcterms:created xsi:type="dcterms:W3CDTF">2019-03-30T03:25:20Z</dcterms:created>
  <dcterms:modified xsi:type="dcterms:W3CDTF">2026-04-20T03:45:10Z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  <property fmtid="{D5CDD505-2E9C-101B-9397-08002B2CF9AE}" pid="11" name="MediaServiceImageTags">
    <vt:lpwstr/>
  </property>
</Properties>
</file>