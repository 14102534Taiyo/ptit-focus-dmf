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itorg.sharepoint.com/sites/PTITFocusStatistics/Shared Documents/General/2026 PTIT Focus/PL/SOURCE/DMF/Sale/"/>
    </mc:Choice>
  </mc:AlternateContent>
  <xr:revisionPtr revIDLastSave="14" documentId="11_B45E1F05BB47E7C55B5FDAEEFC68B328C8D54F53" xr6:coauthVersionLast="47" xr6:coauthVersionMax="47" xr10:uidLastSave="{1684932A-0EEA-46F6-8F44-60E13DD2D730}"/>
  <bookViews>
    <workbookView xWindow="-108" yWindow="-108" windowWidth="23256" windowHeight="12456" xr2:uid="{00000000-000D-0000-FFFF-FFFF00000000}"/>
  </bookViews>
  <sheets>
    <sheet name="กรกฎาคม 2569" sheetId="1" r:id="rId1"/>
  </sheets>
  <definedNames>
    <definedName name="_xlnm.Print_Area" localSheetId="0">'กรกฎาคม 2569'!$A$1:$E$88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 l="1"/>
  <c r="I45" i="1"/>
  <c r="G81" i="1" l="1"/>
  <c r="G43" i="1"/>
  <c r="G30" i="1"/>
  <c r="G83" i="1"/>
  <c r="G45" i="1"/>
</calcChain>
</file>

<file path=xl/sharedStrings.xml><?xml version="1.0" encoding="utf-8"?>
<sst xmlns="http://schemas.openxmlformats.org/spreadsheetml/2006/main" count="325" uniqueCount="284">
  <si>
    <t>รายงานมูลค่าการขายปิโตรเลียมและค่าภาคหลวง</t>
  </si>
  <si>
    <t>กรกฎาคม 2569</t>
  </si>
  <si>
    <t>แก้ไข14 ก.ย. 2569</t>
  </si>
  <si>
    <t>ก๊าซธรรมชาติ</t>
  </si>
  <si>
    <t>แหล่ง</t>
  </si>
  <si>
    <t>ปริมาณการขายรายเดือน</t>
  </si>
  <si>
    <t>มูลค่า</t>
  </si>
  <si>
    <t>ค่าภาคหลวง</t>
  </si>
  <si>
    <t>(ล้านลบ.ฟุต)</t>
  </si>
  <si>
    <t>(ล้านบีทียู)</t>
  </si>
  <si>
    <t>(บาท)</t>
  </si>
  <si>
    <t>อาทิตย์</t>
  </si>
  <si>
    <t>10,949.6450</t>
  </si>
  <si>
    <t>10,755,553.0000</t>
  </si>
  <si>
    <t>2,754,169,078.94</t>
  </si>
  <si>
    <t>344,271,134.87</t>
  </si>
  <si>
    <t>เบญจมาศ</t>
  </si>
  <si>
    <t>1,475.2216</t>
  </si>
  <si>
    <t>1,567,605.0000</t>
  </si>
  <si>
    <t>346,732,436.29</t>
  </si>
  <si>
    <t>35,130,065.85</t>
  </si>
  <si>
    <t>บูรพา</t>
  </si>
  <si>
    <t>2,813.7388</t>
  </si>
  <si>
    <t>144,288.53</t>
  </si>
  <si>
    <t>7,214.43</t>
  </si>
  <si>
    <t>ชบา</t>
  </si>
  <si>
    <t>1,172.0000</t>
  </si>
  <si>
    <t>259,230.11</t>
  </si>
  <si>
    <t>26,264.55</t>
  </si>
  <si>
    <t>G12/48</t>
  </si>
  <si>
    <t>161,928.0000</t>
  </si>
  <si>
    <t>43,932,653.29</t>
  </si>
  <si>
    <t>2,196,632.66</t>
  </si>
  <si>
    <t>ลันตา</t>
  </si>
  <si>
    <t>102,965.0000</t>
  </si>
  <si>
    <t>22,774,426.78</t>
  </si>
  <si>
    <t>1,301,882.33</t>
  </si>
  <si>
    <t>มะลิวัลย์</t>
  </si>
  <si>
    <t>936,591.0000</t>
  </si>
  <si>
    <t>207,160,910.59</t>
  </si>
  <si>
    <t>20,989,026.89</t>
  </si>
  <si>
    <t>มรกต_G7/50</t>
  </si>
  <si>
    <t>35,251.0000</t>
  </si>
  <si>
    <t>8,119,912.75</t>
  </si>
  <si>
    <t>405,995.64</t>
  </si>
  <si>
    <t>มรกต</t>
  </si>
  <si>
    <t>4,961.6921</t>
  </si>
  <si>
    <t>4,901,647.0000</t>
  </si>
  <si>
    <t>1,129,072,819.20</t>
  </si>
  <si>
    <t>141,134,102.40</t>
  </si>
  <si>
    <t>น้ำพอง</t>
  </si>
  <si>
    <t>162,480.0000</t>
  </si>
  <si>
    <t>34,472,926.66</t>
  </si>
  <si>
    <t>4,309,115.83</t>
  </si>
  <si>
    <t>ไพลินเหนือ</t>
  </si>
  <si>
    <t>5,466.1733</t>
  </si>
  <si>
    <t>5,351,973.0000</t>
  </si>
  <si>
    <t>1,232,803,431.87</t>
  </si>
  <si>
    <t>154,100,428.98</t>
  </si>
  <si>
    <t>ตราด</t>
  </si>
  <si>
    <t>31,574.0000</t>
  </si>
  <si>
    <t>6,242,205.07</t>
  </si>
  <si>
    <t>780,275.63</t>
  </si>
  <si>
    <t>ไพลิน</t>
  </si>
  <si>
    <t>2,559.9788</t>
  </si>
  <si>
    <t>2,527,368.0000</t>
  </si>
  <si>
    <t>582,168,098.38</t>
  </si>
  <si>
    <t>72,771,012.30</t>
  </si>
  <si>
    <t>สินภูฮ่อม_E5N</t>
  </si>
  <si>
    <t>609,966.0000</t>
  </si>
  <si>
    <t>171,115,070.29</t>
  </si>
  <si>
    <t>21,389,383.79</t>
  </si>
  <si>
    <t>สินภูฮ่อม_EU1</t>
  </si>
  <si>
    <t>2,402.9660</t>
  </si>
  <si>
    <t>2,439,861.0000</t>
  </si>
  <si>
    <t>684,460,107.32</t>
  </si>
  <si>
    <t>85,557,513.41</t>
  </si>
  <si>
    <t>สิริกิติ์_NGV</t>
  </si>
  <si>
    <t>83,224.0000</t>
  </si>
  <si>
    <t>19,475,389.72</t>
  </si>
  <si>
    <t>2,434,423.72</t>
  </si>
  <si>
    <t>สิริกิติ์_ประดู่เฒ่า_A</t>
  </si>
  <si>
    <t>9,938.2260</t>
  </si>
  <si>
    <t>564,888.77</t>
  </si>
  <si>
    <t>70,611.10</t>
  </si>
  <si>
    <t>สิริกิติ์_กลุ่มแม่บ้าน</t>
  </si>
  <si>
    <t>3,550.0910</t>
  </si>
  <si>
    <t>705,509.58</t>
  </si>
  <si>
    <t>88,188.70</t>
  </si>
  <si>
    <t>สุรินทร์</t>
  </si>
  <si>
    <t>7,520.0000</t>
  </si>
  <si>
    <t>1,663,319.48</t>
  </si>
  <si>
    <t>95,082.36</t>
  </si>
  <si>
    <t>ตราด_11A</t>
  </si>
  <si>
    <t>9,521.1790</t>
  </si>
  <si>
    <t>1,882,344.70</t>
  </si>
  <si>
    <t>235,293.09</t>
  </si>
  <si>
    <t>ยะลา_10A</t>
  </si>
  <si>
    <t>23,576.1900</t>
  </si>
  <si>
    <t>4,661,031.62</t>
  </si>
  <si>
    <t>582,628.95</t>
  </si>
  <si>
    <t>G1/61</t>
  </si>
  <si>
    <t>26,004.4800</t>
  </si>
  <si>
    <t>23,750,902.0000</t>
  </si>
  <si>
    <t>3,483,663,550.86</t>
  </si>
  <si>
    <t>1,295,922,840.91</t>
  </si>
  <si>
    <t>G2/61</t>
  </si>
  <si>
    <t>22,893.3000</t>
  </si>
  <si>
    <t>22,238,858.0000</t>
  </si>
  <si>
    <t>3,261,884,497.15</t>
  </si>
  <si>
    <t>1,239,516,108.92</t>
  </si>
  <si>
    <t>รวมทั้งหมด</t>
  </si>
  <si>
    <t>78,830.9457</t>
  </si>
  <si>
    <t>75,715,837.4248</t>
  </si>
  <si>
    <t>13,998,128,127.95</t>
  </si>
  <si>
    <t>3,423,315,227.31</t>
  </si>
  <si>
    <t>สิริกิติ์ (LPG*, kgs.)</t>
  </si>
  <si>
    <t>5,021,480.0000</t>
  </si>
  <si>
    <t>85,029,725.14</t>
  </si>
  <si>
    <t>10,628,715.63</t>
  </si>
  <si>
    <t>ก๊าซธรรมชาติเหลว</t>
  </si>
  <si>
    <t>(บาร์เรล)</t>
  </si>
  <si>
    <t>510,165.0000</t>
  </si>
  <si>
    <t>1,352,865,139.11</t>
  </si>
  <si>
    <t>169,108,142.39</t>
  </si>
  <si>
    <t>1,803.0000</t>
  </si>
  <si>
    <t>4,717,827.61</t>
  </si>
  <si>
    <t>235,891.38</t>
  </si>
  <si>
    <t>218,679.0000</t>
  </si>
  <si>
    <t>571,497,436.48</t>
  </si>
  <si>
    <t>71,437,179.57</t>
  </si>
  <si>
    <t>200,702.0000</t>
  </si>
  <si>
    <t>524,479,495.74</t>
  </si>
  <si>
    <t>65,559,936.96</t>
  </si>
  <si>
    <t>124,181.0000</t>
  </si>
  <si>
    <t>324,460,241.99</t>
  </si>
  <si>
    <t>40,557,530.25</t>
  </si>
  <si>
    <t>1,378.2200</t>
  </si>
  <si>
    <t>3,357,312.81</t>
  </si>
  <si>
    <t>419,664.12</t>
  </si>
  <si>
    <t>5,513.1000</t>
  </si>
  <si>
    <t>13,429,786.95</t>
  </si>
  <si>
    <t>1,678,723.35</t>
  </si>
  <si>
    <t>106,764.64</t>
  </si>
  <si>
    <t>13,345.58</t>
  </si>
  <si>
    <t>704,012.0000</t>
  </si>
  <si>
    <t>1,841,101,559.53</t>
  </si>
  <si>
    <t>684,889,772.31</t>
  </si>
  <si>
    <t>720,251.0000</t>
  </si>
  <si>
    <t>2,106,751,373.68</t>
  </si>
  <si>
    <t>800,565,521.99</t>
  </si>
  <si>
    <t>2,486,725.3200</t>
  </si>
  <si>
    <t>6,742,766,938.54</t>
  </si>
  <si>
    <t>1,834,465,707.90</t>
  </si>
  <si>
    <t>น้ำมันดิบ</t>
  </si>
  <si>
    <t>AA</t>
  </si>
  <si>
    <t>177,832.33</t>
  </si>
  <si>
    <t>8,891.61</t>
  </si>
  <si>
    <t>อรุโณทัย</t>
  </si>
  <si>
    <t>1,272.7880</t>
  </si>
  <si>
    <t>4,598,388.43</t>
  </si>
  <si>
    <t>229,919.42</t>
  </si>
  <si>
    <t>311,448.0000</t>
  </si>
  <si>
    <t>883,221,430.17</t>
  </si>
  <si>
    <t>89,485,792.95</t>
  </si>
  <si>
    <t>บัวหลวง</t>
  </si>
  <si>
    <t>6,921.2300</t>
  </si>
  <si>
    <t>17,703,165.01</t>
  </si>
  <si>
    <t>885,158.25</t>
  </si>
  <si>
    <t>บึงหญ้าหนองสา</t>
  </si>
  <si>
    <t>11,775.4010</t>
  </si>
  <si>
    <t>40,515,535.08</t>
  </si>
  <si>
    <t>2,025,776.75</t>
  </si>
  <si>
    <t>6,874.1260</t>
  </si>
  <si>
    <t>24,835,166.19</t>
  </si>
  <si>
    <t>1,241,758.29</t>
  </si>
  <si>
    <t>ดีดี</t>
  </si>
  <si>
    <t>50,034.1690</t>
  </si>
  <si>
    <t>163,287,386.12</t>
  </si>
  <si>
    <t>8,164,369.33</t>
  </si>
  <si>
    <t>นาสนุนตะวันออก</t>
  </si>
  <si>
    <t>2,910.1550</t>
  </si>
  <si>
    <t>9,637,004.18</t>
  </si>
  <si>
    <t>481,850.20</t>
  </si>
  <si>
    <t>จัสมิน</t>
  </si>
  <si>
    <t>477,552.0000</t>
  </si>
  <si>
    <t>1,246,869,151.07</t>
  </si>
  <si>
    <t>155,858,643.88</t>
  </si>
  <si>
    <t>กำแพงแสน</t>
  </si>
  <si>
    <t>1,112.5150</t>
  </si>
  <si>
    <t>3,798,551.41</t>
  </si>
  <si>
    <t>189,927.57</t>
  </si>
  <si>
    <t>L1/64 บึงหญ้า</t>
  </si>
  <si>
    <t>16,120.6870</t>
  </si>
  <si>
    <t>55,466,328.47</t>
  </si>
  <si>
    <t>2,773,316.42</t>
  </si>
  <si>
    <t>L33</t>
  </si>
  <si>
    <t>716,165.85</t>
  </si>
  <si>
    <t>35,808.29</t>
  </si>
  <si>
    <t>L53A</t>
  </si>
  <si>
    <t>1,262,421.16</t>
  </si>
  <si>
    <t>63,121.06</t>
  </si>
  <si>
    <t>L53D</t>
  </si>
  <si>
    <t>3,792.7640</t>
  </si>
  <si>
    <t>12,377,751.69</t>
  </si>
  <si>
    <t>618,887.58</t>
  </si>
  <si>
    <t>L53G</t>
  </si>
  <si>
    <t>1,522.2250</t>
  </si>
  <si>
    <t>5,001,073.21</t>
  </si>
  <si>
    <t>250,053.66</t>
  </si>
  <si>
    <t>95,832.0000</t>
  </si>
  <si>
    <t>271,901,039.90</t>
  </si>
  <si>
    <t>15,543,010.75</t>
  </si>
  <si>
    <t>23,891.0000</t>
  </si>
  <si>
    <t>67,833,780.65</t>
  </si>
  <si>
    <t>6,872,749.51</t>
  </si>
  <si>
    <t>หนองผักชี_เอ</t>
  </si>
  <si>
    <t>1,509.8370</t>
  </si>
  <si>
    <t>5,155,160.58</t>
  </si>
  <si>
    <t>257,758.03</t>
  </si>
  <si>
    <t>หนองผักชี_บี</t>
  </si>
  <si>
    <t>1,602.0480</t>
  </si>
  <si>
    <t>5,470,004.17</t>
  </si>
  <si>
    <t>273,500.21</t>
  </si>
  <si>
    <t>หนองผักชี_ซี</t>
  </si>
  <si>
    <t>5,933.1820</t>
  </si>
  <si>
    <t>20,258,151.01</t>
  </si>
  <si>
    <t>1,012,907.55</t>
  </si>
  <si>
    <t>หนองผักชี_ดี</t>
  </si>
  <si>
    <t>3,083,859.76</t>
  </si>
  <si>
    <t>154,192.99</t>
  </si>
  <si>
    <t>หนองผักชี จี</t>
  </si>
  <si>
    <t>9,395.3930</t>
  </si>
  <si>
    <t>32,079,462.62</t>
  </si>
  <si>
    <t>1,603,973.13</t>
  </si>
  <si>
    <t>นงเยาว์</t>
  </si>
  <si>
    <t>299,916.0000</t>
  </si>
  <si>
    <t>867,080,729.40</t>
  </si>
  <si>
    <t>68,277,446.86</t>
  </si>
  <si>
    <t>บ่อรังเหนือ</t>
  </si>
  <si>
    <t>2,507,346.84</t>
  </si>
  <si>
    <t>125,367.34</t>
  </si>
  <si>
    <t>รสสุคนธ์</t>
  </si>
  <si>
    <t>271,159.0000</t>
  </si>
  <si>
    <t>831,748,251.06</t>
  </si>
  <si>
    <t>63,620,265.40</t>
  </si>
  <si>
    <t>สังขจาย</t>
  </si>
  <si>
    <t>1,411.4760</t>
  </si>
  <si>
    <t>4,826,400.33</t>
  </si>
  <si>
    <t>241,320.01</t>
  </si>
  <si>
    <t>สิริกิติ์</t>
  </si>
  <si>
    <t>722,270.9540</t>
  </si>
  <si>
    <t>1,819,054,832.04</t>
  </si>
  <si>
    <t>227,381,854.01</t>
  </si>
  <si>
    <t>33,680.0000</t>
  </si>
  <si>
    <t>95,357,938.46</t>
  </si>
  <si>
    <t>5,451,062.14</t>
  </si>
  <si>
    <t>อู่ทอง</t>
  </si>
  <si>
    <t>2,732.6150</t>
  </si>
  <si>
    <t>9,330,192.02</t>
  </si>
  <si>
    <t>466,509.60</t>
  </si>
  <si>
    <t>วังไผ่สูง</t>
  </si>
  <si>
    <t>1,364.4500</t>
  </si>
  <si>
    <t>3,366,196.80</t>
  </si>
  <si>
    <t>168,309.84</t>
  </si>
  <si>
    <t>วาสนา</t>
  </si>
  <si>
    <t>170,990.0000</t>
  </si>
  <si>
    <t>437,359,863.51</t>
  </si>
  <si>
    <t>27,429,950.15</t>
  </si>
  <si>
    <t>วิเชียรบุรีศรีเทพ</t>
  </si>
  <si>
    <t>1,507.2200</t>
  </si>
  <si>
    <t>4,868,238.46</t>
  </si>
  <si>
    <t>243,411.92</t>
  </si>
  <si>
    <t>วิเชียรบุรีส่วนขยาย-3</t>
  </si>
  <si>
    <t>2,228,651.44</t>
  </si>
  <si>
    <t>111,432.58</t>
  </si>
  <si>
    <t>406,119.0000</t>
  </si>
  <si>
    <t>1,062,839,214.96</t>
  </si>
  <si>
    <t>395,376,187.96</t>
  </si>
  <si>
    <t>2,943,672.0920</t>
  </si>
  <si>
    <t>8,015,816,664.38</t>
  </si>
  <si>
    <t>1,076,924,485.24</t>
  </si>
  <si>
    <t>28,841,741,456.01</t>
  </si>
  <si>
    <t>6,345,334,136.08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</si>
</sst>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rgb="FF00000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4" fontId="2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E70944-6C53-4FF4-B6EA-1D8C6AD7823D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VSMXW-juSzB83PuZxk-Z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topLeftCell="A63" workbookViewId="0">
      <selection activeCell="I84" sqref="I84"/>
    </sheetView>
  </sheetViews>
  <sheetFormatPr defaultRowHeight="14.4" x14ac:dyDescent="0.3"/>
  <cols>
    <col min="1" max="1" width="28.6640625" style="1" customWidth="1"/>
    <col min="2" max="3" width="14" style="1" customWidth="1"/>
    <col min="4" max="5" width="19.33203125" style="1" customWidth="1"/>
    <col min="6" max="1025" width="8.6640625" style="1" customWidth="1"/>
  </cols>
  <sheetData>
    <row r="1" spans="1:5" ht="17.100000000000001" customHeight="1" x14ac:dyDescent="0.3">
      <c r="A1" s="12" t="s">
        <v>0</v>
      </c>
      <c r="B1" s="12"/>
      <c r="C1" s="12"/>
      <c r="D1" s="12"/>
      <c r="E1" s="12"/>
    </row>
    <row r="2" spans="1:5" ht="17.100000000000001" customHeight="1" x14ac:dyDescent="0.3">
      <c r="A2" s="12" t="s">
        <v>1</v>
      </c>
      <c r="B2" s="12"/>
      <c r="C2" s="12"/>
      <c r="D2" s="12"/>
      <c r="E2" s="12"/>
    </row>
    <row r="3" spans="1:5" ht="17.100000000000001" customHeight="1" x14ac:dyDescent="0.3">
      <c r="A3" s="23" t="s">
        <v>2</v>
      </c>
      <c r="B3" s="23"/>
      <c r="C3" s="23"/>
      <c r="D3" s="23"/>
      <c r="E3" s="23"/>
    </row>
    <row r="4" spans="1:5" x14ac:dyDescent="0.3">
      <c r="A4" s="22" t="s">
        <v>3</v>
      </c>
      <c r="B4" s="19"/>
      <c r="C4" s="19"/>
      <c r="D4" s="19"/>
      <c r="E4" s="19"/>
    </row>
    <row r="5" spans="1:5" x14ac:dyDescent="0.3">
      <c r="A5" s="20" t="s">
        <v>4</v>
      </c>
      <c r="B5" s="20" t="s">
        <v>5</v>
      </c>
      <c r="C5" s="19"/>
      <c r="D5" s="4" t="s">
        <v>6</v>
      </c>
      <c r="E5" s="4" t="s">
        <v>7</v>
      </c>
    </row>
    <row r="6" spans="1:5" x14ac:dyDescent="0.3">
      <c r="A6" s="19"/>
      <c r="B6" s="4" t="s">
        <v>8</v>
      </c>
      <c r="C6" s="4" t="s">
        <v>9</v>
      </c>
      <c r="D6" s="4" t="s">
        <v>10</v>
      </c>
      <c r="E6" s="4" t="s">
        <v>10</v>
      </c>
    </row>
    <row r="7" spans="1:5" x14ac:dyDescent="0.3">
      <c r="A7" s="5" t="s">
        <v>11</v>
      </c>
      <c r="B7" s="6" t="s">
        <v>12</v>
      </c>
      <c r="C7" s="6" t="s">
        <v>13</v>
      </c>
      <c r="D7" s="7" t="s">
        <v>14</v>
      </c>
      <c r="E7" s="7" t="s">
        <v>15</v>
      </c>
    </row>
    <row r="8" spans="1:5" x14ac:dyDescent="0.3">
      <c r="A8" s="5" t="s">
        <v>16</v>
      </c>
      <c r="B8" s="6" t="s">
        <v>17</v>
      </c>
      <c r="C8" s="6" t="s">
        <v>18</v>
      </c>
      <c r="D8" s="7" t="s">
        <v>19</v>
      </c>
      <c r="E8" s="7" t="s">
        <v>20</v>
      </c>
    </row>
    <row r="9" spans="1:5" x14ac:dyDescent="0.3">
      <c r="A9" s="5" t="s">
        <v>21</v>
      </c>
      <c r="B9" s="6">
        <v>1.6135999999999999</v>
      </c>
      <c r="C9" s="6" t="s">
        <v>22</v>
      </c>
      <c r="D9" s="7" t="s">
        <v>23</v>
      </c>
      <c r="E9" s="7" t="s">
        <v>24</v>
      </c>
    </row>
    <row r="10" spans="1:5" x14ac:dyDescent="0.3">
      <c r="A10" s="5" t="s">
        <v>25</v>
      </c>
      <c r="B10" s="6">
        <v>1.4839</v>
      </c>
      <c r="C10" s="6" t="s">
        <v>26</v>
      </c>
      <c r="D10" s="7" t="s">
        <v>27</v>
      </c>
      <c r="E10" s="7" t="s">
        <v>28</v>
      </c>
    </row>
    <row r="11" spans="1:5" x14ac:dyDescent="0.3">
      <c r="A11" s="5" t="s">
        <v>29</v>
      </c>
      <c r="B11" s="6">
        <v>165.077</v>
      </c>
      <c r="C11" s="6" t="s">
        <v>30</v>
      </c>
      <c r="D11" s="7" t="s">
        <v>31</v>
      </c>
      <c r="E11" s="7" t="s">
        <v>32</v>
      </c>
    </row>
    <row r="12" spans="1:5" x14ac:dyDescent="0.3">
      <c r="A12" s="5" t="s">
        <v>33</v>
      </c>
      <c r="B12" s="6">
        <v>96.885900000000007</v>
      </c>
      <c r="C12" s="6" t="s">
        <v>34</v>
      </c>
      <c r="D12" s="7" t="s">
        <v>35</v>
      </c>
      <c r="E12" s="7" t="s">
        <v>36</v>
      </c>
    </row>
    <row r="13" spans="1:5" x14ac:dyDescent="0.3">
      <c r="A13" s="5" t="s">
        <v>37</v>
      </c>
      <c r="B13" s="6">
        <v>881.61869999999999</v>
      </c>
      <c r="C13" s="6" t="s">
        <v>38</v>
      </c>
      <c r="D13" s="7" t="s">
        <v>39</v>
      </c>
      <c r="E13" s="7" t="s">
        <v>40</v>
      </c>
    </row>
    <row r="14" spans="1:5" x14ac:dyDescent="0.3">
      <c r="A14" s="5" t="s">
        <v>41</v>
      </c>
      <c r="B14" s="6">
        <v>35.783799999999999</v>
      </c>
      <c r="C14" s="6" t="s">
        <v>42</v>
      </c>
      <c r="D14" s="7" t="s">
        <v>43</v>
      </c>
      <c r="E14" s="7" t="s">
        <v>44</v>
      </c>
    </row>
    <row r="15" spans="1:5" x14ac:dyDescent="0.3">
      <c r="A15" s="5" t="s">
        <v>45</v>
      </c>
      <c r="B15" s="6" t="s">
        <v>46</v>
      </c>
      <c r="C15" s="6" t="s">
        <v>47</v>
      </c>
      <c r="D15" s="7" t="s">
        <v>48</v>
      </c>
      <c r="E15" s="7" t="s">
        <v>49</v>
      </c>
    </row>
    <row r="16" spans="1:5" x14ac:dyDescent="0.3">
      <c r="A16" s="5" t="s">
        <v>50</v>
      </c>
      <c r="B16" s="6">
        <v>168.32230000000001</v>
      </c>
      <c r="C16" s="6" t="s">
        <v>51</v>
      </c>
      <c r="D16" s="7" t="s">
        <v>52</v>
      </c>
      <c r="E16" s="7" t="s">
        <v>53</v>
      </c>
    </row>
    <row r="17" spans="1:7" x14ac:dyDescent="0.3">
      <c r="A17" s="5" t="s">
        <v>54</v>
      </c>
      <c r="B17" s="6" t="s">
        <v>55</v>
      </c>
      <c r="C17" s="6" t="s">
        <v>56</v>
      </c>
      <c r="D17" s="7" t="s">
        <v>57</v>
      </c>
      <c r="E17" s="7" t="s">
        <v>58</v>
      </c>
    </row>
    <row r="18" spans="1:7" x14ac:dyDescent="0.3">
      <c r="A18" s="5" t="s">
        <v>59</v>
      </c>
      <c r="B18" s="6">
        <v>33.156799999999997</v>
      </c>
      <c r="C18" s="6" t="s">
        <v>60</v>
      </c>
      <c r="D18" s="7" t="s">
        <v>61</v>
      </c>
      <c r="E18" s="7" t="s">
        <v>62</v>
      </c>
    </row>
    <row r="19" spans="1:7" x14ac:dyDescent="0.3">
      <c r="A19" s="5" t="s">
        <v>63</v>
      </c>
      <c r="B19" s="6" t="s">
        <v>64</v>
      </c>
      <c r="C19" s="6" t="s">
        <v>65</v>
      </c>
      <c r="D19" s="7" t="s">
        <v>66</v>
      </c>
      <c r="E19" s="7" t="s">
        <v>67</v>
      </c>
    </row>
    <row r="20" spans="1:7" x14ac:dyDescent="0.3">
      <c r="A20" s="5" t="s">
        <v>68</v>
      </c>
      <c r="B20" s="6">
        <v>600.74099999999999</v>
      </c>
      <c r="C20" s="6" t="s">
        <v>69</v>
      </c>
      <c r="D20" s="7" t="s">
        <v>70</v>
      </c>
      <c r="E20" s="7" t="s">
        <v>71</v>
      </c>
    </row>
    <row r="21" spans="1:7" x14ac:dyDescent="0.3">
      <c r="A21" s="5" t="s">
        <v>72</v>
      </c>
      <c r="B21" s="6" t="s">
        <v>73</v>
      </c>
      <c r="C21" s="6" t="s">
        <v>74</v>
      </c>
      <c r="D21" s="7" t="s">
        <v>75</v>
      </c>
      <c r="E21" s="7" t="s">
        <v>76</v>
      </c>
    </row>
    <row r="22" spans="1:7" x14ac:dyDescent="0.3">
      <c r="A22" s="5" t="s">
        <v>77</v>
      </c>
      <c r="B22" s="6">
        <v>77.63</v>
      </c>
      <c r="C22" s="6" t="s">
        <v>78</v>
      </c>
      <c r="D22" s="7" t="s">
        <v>79</v>
      </c>
      <c r="E22" s="7" t="s">
        <v>80</v>
      </c>
    </row>
    <row r="23" spans="1:7" x14ac:dyDescent="0.3">
      <c r="A23" s="5" t="s">
        <v>81</v>
      </c>
      <c r="B23" s="6">
        <v>6.84</v>
      </c>
      <c r="C23" s="6" t="s">
        <v>82</v>
      </c>
      <c r="D23" s="7" t="s">
        <v>83</v>
      </c>
      <c r="E23" s="7" t="s">
        <v>84</v>
      </c>
    </row>
    <row r="24" spans="1:7" x14ac:dyDescent="0.3">
      <c r="A24" s="5" t="s">
        <v>85</v>
      </c>
      <c r="B24" s="6">
        <v>2.3959999999999999</v>
      </c>
      <c r="C24" s="6" t="s">
        <v>86</v>
      </c>
      <c r="D24" s="7" t="s">
        <v>87</v>
      </c>
      <c r="E24" s="7" t="s">
        <v>88</v>
      </c>
    </row>
    <row r="25" spans="1:7" x14ac:dyDescent="0.3">
      <c r="A25" s="5" t="s">
        <v>89</v>
      </c>
      <c r="B25" s="6">
        <v>7.0711000000000004</v>
      </c>
      <c r="C25" s="6" t="s">
        <v>90</v>
      </c>
      <c r="D25" s="7" t="s">
        <v>91</v>
      </c>
      <c r="E25" s="7" t="s">
        <v>92</v>
      </c>
    </row>
    <row r="26" spans="1:7" x14ac:dyDescent="0.3">
      <c r="A26" s="5" t="s">
        <v>93</v>
      </c>
      <c r="B26" s="6">
        <v>9.2307000000000006</v>
      </c>
      <c r="C26" s="6" t="s">
        <v>94</v>
      </c>
      <c r="D26" s="7" t="s">
        <v>95</v>
      </c>
      <c r="E26" s="7" t="s">
        <v>96</v>
      </c>
    </row>
    <row r="27" spans="1:7" x14ac:dyDescent="0.3">
      <c r="A27" s="5" t="s">
        <v>97</v>
      </c>
      <c r="B27" s="6">
        <v>29.638100000000001</v>
      </c>
      <c r="C27" s="6" t="s">
        <v>98</v>
      </c>
      <c r="D27" s="7" t="s">
        <v>99</v>
      </c>
      <c r="E27" s="7" t="s">
        <v>100</v>
      </c>
    </row>
    <row r="28" spans="1:7" x14ac:dyDescent="0.3">
      <c r="A28" s="5" t="s">
        <v>101</v>
      </c>
      <c r="B28" s="6" t="s">
        <v>102</v>
      </c>
      <c r="C28" s="6" t="s">
        <v>103</v>
      </c>
      <c r="D28" s="7" t="s">
        <v>104</v>
      </c>
      <c r="E28" s="7" t="s">
        <v>105</v>
      </c>
    </row>
    <row r="29" spans="1:7" x14ac:dyDescent="0.3">
      <c r="A29" s="5" t="s">
        <v>106</v>
      </c>
      <c r="B29" s="6" t="s">
        <v>107</v>
      </c>
      <c r="C29" s="6" t="s">
        <v>108</v>
      </c>
      <c r="D29" s="7" t="s">
        <v>109</v>
      </c>
      <c r="E29" s="7" t="s">
        <v>110</v>
      </c>
    </row>
    <row r="30" spans="1:7" x14ac:dyDescent="0.3">
      <c r="A30" s="4" t="s">
        <v>111</v>
      </c>
      <c r="B30" s="8" t="s">
        <v>112</v>
      </c>
      <c r="C30" s="8" t="s">
        <v>113</v>
      </c>
      <c r="D30" s="9" t="s">
        <v>114</v>
      </c>
      <c r="E30" s="9" t="s">
        <v>115</v>
      </c>
      <c r="G30" s="1">
        <f>D30/C30</f>
        <v>184.87714861309911</v>
      </c>
    </row>
    <row r="31" spans="1:7" x14ac:dyDescent="0.3">
      <c r="A31" s="5" t="s">
        <v>116</v>
      </c>
      <c r="B31" s="6">
        <v>0</v>
      </c>
      <c r="C31" s="6" t="s">
        <v>117</v>
      </c>
      <c r="D31" s="7" t="s">
        <v>118</v>
      </c>
      <c r="E31" s="7" t="s">
        <v>119</v>
      </c>
    </row>
    <row r="32" spans="1:7" x14ac:dyDescent="0.3">
      <c r="A32" s="22" t="s">
        <v>120</v>
      </c>
      <c r="B32" s="19"/>
      <c r="C32" s="19"/>
      <c r="D32" s="19"/>
      <c r="E32" s="19"/>
    </row>
    <row r="33" spans="1:9" x14ac:dyDescent="0.3">
      <c r="A33" s="20" t="s">
        <v>4</v>
      </c>
      <c r="B33" s="20" t="s">
        <v>5</v>
      </c>
      <c r="C33" s="19"/>
      <c r="D33" s="4" t="s">
        <v>6</v>
      </c>
      <c r="E33" s="4" t="s">
        <v>7</v>
      </c>
    </row>
    <row r="34" spans="1:9" x14ac:dyDescent="0.3">
      <c r="A34" s="19"/>
      <c r="B34" s="20" t="s">
        <v>121</v>
      </c>
      <c r="C34" s="19"/>
      <c r="D34" s="4" t="s">
        <v>10</v>
      </c>
      <c r="E34" s="4" t="s">
        <v>10</v>
      </c>
    </row>
    <row r="35" spans="1:9" x14ac:dyDescent="0.3">
      <c r="A35" s="5" t="s">
        <v>11</v>
      </c>
      <c r="B35" s="16" t="s">
        <v>122</v>
      </c>
      <c r="C35" s="17"/>
      <c r="D35" s="7" t="s">
        <v>123</v>
      </c>
      <c r="E35" s="7" t="s">
        <v>124</v>
      </c>
    </row>
    <row r="36" spans="1:9" x14ac:dyDescent="0.3">
      <c r="A36" s="5" t="s">
        <v>41</v>
      </c>
      <c r="B36" s="16" t="s">
        <v>125</v>
      </c>
      <c r="C36" s="17"/>
      <c r="D36" s="7" t="s">
        <v>126</v>
      </c>
      <c r="E36" s="7" t="s">
        <v>127</v>
      </c>
    </row>
    <row r="37" spans="1:9" x14ac:dyDescent="0.3">
      <c r="A37" s="5" t="s">
        <v>45</v>
      </c>
      <c r="B37" s="16" t="s">
        <v>128</v>
      </c>
      <c r="C37" s="17"/>
      <c r="D37" s="7" t="s">
        <v>129</v>
      </c>
      <c r="E37" s="7" t="s">
        <v>130</v>
      </c>
    </row>
    <row r="38" spans="1:9" x14ac:dyDescent="0.3">
      <c r="A38" s="5" t="s">
        <v>54</v>
      </c>
      <c r="B38" s="16" t="s">
        <v>131</v>
      </c>
      <c r="C38" s="17"/>
      <c r="D38" s="7" t="s">
        <v>132</v>
      </c>
      <c r="E38" s="7" t="s">
        <v>133</v>
      </c>
    </row>
    <row r="39" spans="1:9" x14ac:dyDescent="0.3">
      <c r="A39" s="5" t="s">
        <v>63</v>
      </c>
      <c r="B39" s="16" t="s">
        <v>134</v>
      </c>
      <c r="C39" s="17"/>
      <c r="D39" s="7" t="s">
        <v>135</v>
      </c>
      <c r="E39" s="7" t="s">
        <v>136</v>
      </c>
    </row>
    <row r="40" spans="1:9" x14ac:dyDescent="0.3">
      <c r="A40" s="5" t="s">
        <v>68</v>
      </c>
      <c r="B40" s="16" t="s">
        <v>137</v>
      </c>
      <c r="C40" s="17"/>
      <c r="D40" s="7" t="s">
        <v>138</v>
      </c>
      <c r="E40" s="7" t="s">
        <v>139</v>
      </c>
    </row>
    <row r="41" spans="1:9" x14ac:dyDescent="0.3">
      <c r="A41" s="5" t="s">
        <v>72</v>
      </c>
      <c r="B41" s="16" t="s">
        <v>140</v>
      </c>
      <c r="C41" s="17"/>
      <c r="D41" s="7" t="s">
        <v>141</v>
      </c>
      <c r="E41" s="7" t="s">
        <v>142</v>
      </c>
    </row>
    <row r="42" spans="1:9" x14ac:dyDescent="0.3">
      <c r="A42" s="5" t="s">
        <v>93</v>
      </c>
      <c r="B42" s="16">
        <v>41</v>
      </c>
      <c r="C42" s="17"/>
      <c r="D42" s="7" t="s">
        <v>143</v>
      </c>
      <c r="E42" s="7" t="s">
        <v>144</v>
      </c>
    </row>
    <row r="43" spans="1:9" x14ac:dyDescent="0.3">
      <c r="A43" s="5" t="s">
        <v>101</v>
      </c>
      <c r="B43" s="16" t="s">
        <v>145</v>
      </c>
      <c r="C43" s="17"/>
      <c r="D43" s="7" t="s">
        <v>146</v>
      </c>
      <c r="E43" s="7" t="s">
        <v>147</v>
      </c>
      <c r="G43" s="1">
        <f>B45/31</f>
        <v>80216.945806451607</v>
      </c>
    </row>
    <row r="44" spans="1:9" x14ac:dyDescent="0.3">
      <c r="A44" s="5" t="s">
        <v>106</v>
      </c>
      <c r="B44" s="16" t="s">
        <v>148</v>
      </c>
      <c r="C44" s="17"/>
      <c r="D44" s="7" t="s">
        <v>149</v>
      </c>
      <c r="E44" s="7" t="s">
        <v>150</v>
      </c>
    </row>
    <row r="45" spans="1:9" x14ac:dyDescent="0.3">
      <c r="A45" s="4" t="s">
        <v>111</v>
      </c>
      <c r="B45" s="18" t="s">
        <v>151</v>
      </c>
      <c r="C45" s="19"/>
      <c r="D45" s="9" t="s">
        <v>152</v>
      </c>
      <c r="E45" s="9" t="s">
        <v>153</v>
      </c>
      <c r="G45" s="1">
        <f>D45/B45</f>
        <v>2711.5045173304466</v>
      </c>
      <c r="I45" s="1">
        <f>D45/B45</f>
        <v>2711.5045173304466</v>
      </c>
    </row>
    <row r="46" spans="1:9" x14ac:dyDescent="0.3">
      <c r="A46" s="22" t="s">
        <v>154</v>
      </c>
      <c r="B46" s="19"/>
      <c r="C46" s="19"/>
      <c r="D46" s="19"/>
      <c r="E46" s="19"/>
    </row>
    <row r="47" spans="1:9" x14ac:dyDescent="0.3">
      <c r="A47" s="20" t="s">
        <v>4</v>
      </c>
      <c r="B47" s="20" t="s">
        <v>5</v>
      </c>
      <c r="C47" s="19"/>
      <c r="D47" s="4" t="s">
        <v>6</v>
      </c>
      <c r="E47" s="4" t="s">
        <v>7</v>
      </c>
    </row>
    <row r="48" spans="1:9" x14ac:dyDescent="0.3">
      <c r="A48" s="19"/>
      <c r="B48" s="20" t="s">
        <v>121</v>
      </c>
      <c r="C48" s="19"/>
      <c r="D48" s="4" t="s">
        <v>10</v>
      </c>
      <c r="E48" s="4" t="s">
        <v>10</v>
      </c>
    </row>
    <row r="49" spans="1:5" x14ac:dyDescent="0.3">
      <c r="A49" s="5" t="s">
        <v>155</v>
      </c>
      <c r="B49" s="16">
        <v>54.491</v>
      </c>
      <c r="C49" s="17"/>
      <c r="D49" s="7" t="s">
        <v>156</v>
      </c>
      <c r="E49" s="7" t="s">
        <v>157</v>
      </c>
    </row>
    <row r="50" spans="1:5" x14ac:dyDescent="0.3">
      <c r="A50" s="5" t="s">
        <v>158</v>
      </c>
      <c r="B50" s="16" t="s">
        <v>159</v>
      </c>
      <c r="C50" s="17"/>
      <c r="D50" s="7" t="s">
        <v>160</v>
      </c>
      <c r="E50" s="7" t="s">
        <v>161</v>
      </c>
    </row>
    <row r="51" spans="1:5" x14ac:dyDescent="0.3">
      <c r="A51" s="5" t="s">
        <v>16</v>
      </c>
      <c r="B51" s="16" t="s">
        <v>162</v>
      </c>
      <c r="C51" s="17"/>
      <c r="D51" s="7" t="s">
        <v>163</v>
      </c>
      <c r="E51" s="7" t="s">
        <v>164</v>
      </c>
    </row>
    <row r="52" spans="1:5" x14ac:dyDescent="0.3">
      <c r="A52" s="5" t="s">
        <v>165</v>
      </c>
      <c r="B52" s="16" t="s">
        <v>166</v>
      </c>
      <c r="C52" s="17"/>
      <c r="D52" s="7" t="s">
        <v>167</v>
      </c>
      <c r="E52" s="7" t="s">
        <v>168</v>
      </c>
    </row>
    <row r="53" spans="1:5" x14ac:dyDescent="0.3">
      <c r="A53" s="5" t="s">
        <v>169</v>
      </c>
      <c r="B53" s="16" t="s">
        <v>170</v>
      </c>
      <c r="C53" s="17"/>
      <c r="D53" s="7" t="s">
        <v>171</v>
      </c>
      <c r="E53" s="7" t="s">
        <v>172</v>
      </c>
    </row>
    <row r="54" spans="1:5" x14ac:dyDescent="0.3">
      <c r="A54" s="5" t="s">
        <v>21</v>
      </c>
      <c r="B54" s="16" t="s">
        <v>173</v>
      </c>
      <c r="C54" s="17"/>
      <c r="D54" s="7" t="s">
        <v>174</v>
      </c>
      <c r="E54" s="7" t="s">
        <v>175</v>
      </c>
    </row>
    <row r="55" spans="1:5" x14ac:dyDescent="0.3">
      <c r="A55" s="5" t="s">
        <v>176</v>
      </c>
      <c r="B55" s="16" t="s">
        <v>177</v>
      </c>
      <c r="C55" s="17"/>
      <c r="D55" s="7" t="s">
        <v>178</v>
      </c>
      <c r="E55" s="7" t="s">
        <v>179</v>
      </c>
    </row>
    <row r="56" spans="1:5" x14ac:dyDescent="0.3">
      <c r="A56" s="5" t="s">
        <v>180</v>
      </c>
      <c r="B56" s="16" t="s">
        <v>181</v>
      </c>
      <c r="C56" s="17"/>
      <c r="D56" s="7" t="s">
        <v>182</v>
      </c>
      <c r="E56" s="7" t="s">
        <v>183</v>
      </c>
    </row>
    <row r="57" spans="1:5" x14ac:dyDescent="0.3">
      <c r="A57" s="5" t="s">
        <v>184</v>
      </c>
      <c r="B57" s="16" t="s">
        <v>185</v>
      </c>
      <c r="C57" s="17"/>
      <c r="D57" s="7" t="s">
        <v>186</v>
      </c>
      <c r="E57" s="7" t="s">
        <v>187</v>
      </c>
    </row>
    <row r="58" spans="1:5" x14ac:dyDescent="0.3">
      <c r="A58" s="5" t="s">
        <v>188</v>
      </c>
      <c r="B58" s="16" t="s">
        <v>189</v>
      </c>
      <c r="C58" s="17"/>
      <c r="D58" s="7" t="s">
        <v>190</v>
      </c>
      <c r="E58" s="7" t="s">
        <v>191</v>
      </c>
    </row>
    <row r="59" spans="1:5" x14ac:dyDescent="0.3">
      <c r="A59" s="5" t="s">
        <v>192</v>
      </c>
      <c r="B59" s="16" t="s">
        <v>193</v>
      </c>
      <c r="C59" s="17"/>
      <c r="D59" s="7" t="s">
        <v>194</v>
      </c>
      <c r="E59" s="7" t="s">
        <v>195</v>
      </c>
    </row>
    <row r="60" spans="1:5" x14ac:dyDescent="0.3">
      <c r="A60" s="5" t="s">
        <v>196</v>
      </c>
      <c r="B60" s="16">
        <v>217.23599999999999</v>
      </c>
      <c r="C60" s="17"/>
      <c r="D60" s="7" t="s">
        <v>197</v>
      </c>
      <c r="E60" s="7" t="s">
        <v>198</v>
      </c>
    </row>
    <row r="61" spans="1:5" x14ac:dyDescent="0.3">
      <c r="A61" s="5" t="s">
        <v>199</v>
      </c>
      <c r="B61" s="16">
        <v>380.03100000000001</v>
      </c>
      <c r="C61" s="17"/>
      <c r="D61" s="7" t="s">
        <v>200</v>
      </c>
      <c r="E61" s="7" t="s">
        <v>201</v>
      </c>
    </row>
    <row r="62" spans="1:5" x14ac:dyDescent="0.3">
      <c r="A62" s="5" t="s">
        <v>202</v>
      </c>
      <c r="B62" s="16" t="s">
        <v>203</v>
      </c>
      <c r="C62" s="17"/>
      <c r="D62" s="7" t="s">
        <v>204</v>
      </c>
      <c r="E62" s="7" t="s">
        <v>205</v>
      </c>
    </row>
    <row r="63" spans="1:5" x14ac:dyDescent="0.3">
      <c r="A63" s="5" t="s">
        <v>206</v>
      </c>
      <c r="B63" s="16" t="s">
        <v>207</v>
      </c>
      <c r="C63" s="17"/>
      <c r="D63" s="7" t="s">
        <v>208</v>
      </c>
      <c r="E63" s="7" t="s">
        <v>209</v>
      </c>
    </row>
    <row r="64" spans="1:5" x14ac:dyDescent="0.3">
      <c r="A64" s="5" t="s">
        <v>33</v>
      </c>
      <c r="B64" s="16" t="s">
        <v>210</v>
      </c>
      <c r="C64" s="17"/>
      <c r="D64" s="7" t="s">
        <v>211</v>
      </c>
      <c r="E64" s="7" t="s">
        <v>212</v>
      </c>
    </row>
    <row r="65" spans="1:5" x14ac:dyDescent="0.3">
      <c r="A65" s="5" t="s">
        <v>37</v>
      </c>
      <c r="B65" s="16" t="s">
        <v>213</v>
      </c>
      <c r="C65" s="17"/>
      <c r="D65" s="7" t="s">
        <v>214</v>
      </c>
      <c r="E65" s="7" t="s">
        <v>215</v>
      </c>
    </row>
    <row r="66" spans="1:5" x14ac:dyDescent="0.3">
      <c r="A66" s="5" t="s">
        <v>216</v>
      </c>
      <c r="B66" s="16" t="s">
        <v>217</v>
      </c>
      <c r="C66" s="17"/>
      <c r="D66" s="7" t="s">
        <v>218</v>
      </c>
      <c r="E66" s="7" t="s">
        <v>219</v>
      </c>
    </row>
    <row r="67" spans="1:5" x14ac:dyDescent="0.3">
      <c r="A67" s="5" t="s">
        <v>220</v>
      </c>
      <c r="B67" s="16" t="s">
        <v>221</v>
      </c>
      <c r="C67" s="17"/>
      <c r="D67" s="7" t="s">
        <v>222</v>
      </c>
      <c r="E67" s="7" t="s">
        <v>223</v>
      </c>
    </row>
    <row r="68" spans="1:5" x14ac:dyDescent="0.3">
      <c r="A68" s="5" t="s">
        <v>224</v>
      </c>
      <c r="B68" s="16" t="s">
        <v>225</v>
      </c>
      <c r="C68" s="17"/>
      <c r="D68" s="7" t="s">
        <v>226</v>
      </c>
      <c r="E68" s="7" t="s">
        <v>227</v>
      </c>
    </row>
    <row r="69" spans="1:5" x14ac:dyDescent="0.3">
      <c r="A69" s="5" t="s">
        <v>228</v>
      </c>
      <c r="B69" s="16">
        <v>903.197</v>
      </c>
      <c r="C69" s="17"/>
      <c r="D69" s="7" t="s">
        <v>229</v>
      </c>
      <c r="E69" s="7" t="s">
        <v>230</v>
      </c>
    </row>
    <row r="70" spans="1:5" x14ac:dyDescent="0.3">
      <c r="A70" s="5" t="s">
        <v>231</v>
      </c>
      <c r="B70" s="16" t="s">
        <v>232</v>
      </c>
      <c r="C70" s="17"/>
      <c r="D70" s="7" t="s">
        <v>233</v>
      </c>
      <c r="E70" s="7" t="s">
        <v>234</v>
      </c>
    </row>
    <row r="71" spans="1:5" x14ac:dyDescent="0.3">
      <c r="A71" s="5" t="s">
        <v>235</v>
      </c>
      <c r="B71" s="16" t="s">
        <v>236</v>
      </c>
      <c r="C71" s="17"/>
      <c r="D71" s="7" t="s">
        <v>237</v>
      </c>
      <c r="E71" s="7" t="s">
        <v>238</v>
      </c>
    </row>
    <row r="72" spans="1:5" x14ac:dyDescent="0.3">
      <c r="A72" s="5" t="s">
        <v>239</v>
      </c>
      <c r="B72" s="16">
        <v>800.54</v>
      </c>
      <c r="C72" s="17"/>
      <c r="D72" s="7" t="s">
        <v>240</v>
      </c>
      <c r="E72" s="7" t="s">
        <v>241</v>
      </c>
    </row>
    <row r="73" spans="1:5" x14ac:dyDescent="0.3">
      <c r="A73" s="5" t="s">
        <v>242</v>
      </c>
      <c r="B73" s="16" t="s">
        <v>243</v>
      </c>
      <c r="C73" s="17"/>
      <c r="D73" s="7" t="s">
        <v>244</v>
      </c>
      <c r="E73" s="7" t="s">
        <v>245</v>
      </c>
    </row>
    <row r="74" spans="1:5" x14ac:dyDescent="0.3">
      <c r="A74" s="5" t="s">
        <v>246</v>
      </c>
      <c r="B74" s="16" t="s">
        <v>247</v>
      </c>
      <c r="C74" s="17"/>
      <c r="D74" s="7" t="s">
        <v>248</v>
      </c>
      <c r="E74" s="7" t="s">
        <v>249</v>
      </c>
    </row>
    <row r="75" spans="1:5" x14ac:dyDescent="0.3">
      <c r="A75" s="5" t="s">
        <v>250</v>
      </c>
      <c r="B75" s="16" t="s">
        <v>251</v>
      </c>
      <c r="C75" s="17"/>
      <c r="D75" s="7" t="s">
        <v>252</v>
      </c>
      <c r="E75" s="7" t="s">
        <v>253</v>
      </c>
    </row>
    <row r="76" spans="1:5" x14ac:dyDescent="0.3">
      <c r="A76" s="5" t="s">
        <v>89</v>
      </c>
      <c r="B76" s="16" t="s">
        <v>254</v>
      </c>
      <c r="C76" s="17"/>
      <c r="D76" s="7" t="s">
        <v>255</v>
      </c>
      <c r="E76" s="7" t="s">
        <v>256</v>
      </c>
    </row>
    <row r="77" spans="1:5" x14ac:dyDescent="0.3">
      <c r="A77" s="5" t="s">
        <v>257</v>
      </c>
      <c r="B77" s="16" t="s">
        <v>258</v>
      </c>
      <c r="C77" s="17"/>
      <c r="D77" s="7" t="s">
        <v>259</v>
      </c>
      <c r="E77" s="7" t="s">
        <v>260</v>
      </c>
    </row>
    <row r="78" spans="1:5" x14ac:dyDescent="0.3">
      <c r="A78" s="5" t="s">
        <v>261</v>
      </c>
      <c r="B78" s="16" t="s">
        <v>262</v>
      </c>
      <c r="C78" s="17"/>
      <c r="D78" s="7" t="s">
        <v>263</v>
      </c>
      <c r="E78" s="7" t="s">
        <v>264</v>
      </c>
    </row>
    <row r="79" spans="1:5" x14ac:dyDescent="0.3">
      <c r="A79" s="5" t="s">
        <v>265</v>
      </c>
      <c r="B79" s="16" t="s">
        <v>266</v>
      </c>
      <c r="C79" s="17"/>
      <c r="D79" s="7" t="s">
        <v>267</v>
      </c>
      <c r="E79" s="7" t="s">
        <v>268</v>
      </c>
    </row>
    <row r="80" spans="1:5" x14ac:dyDescent="0.3">
      <c r="A80" s="5" t="s">
        <v>269</v>
      </c>
      <c r="B80" s="16" t="s">
        <v>270</v>
      </c>
      <c r="C80" s="17"/>
      <c r="D80" s="7" t="s">
        <v>271</v>
      </c>
      <c r="E80" s="7" t="s">
        <v>272</v>
      </c>
    </row>
    <row r="81" spans="1:9" x14ac:dyDescent="0.3">
      <c r="A81" s="5" t="s">
        <v>273</v>
      </c>
      <c r="B81" s="16">
        <v>666.36199999999997</v>
      </c>
      <c r="C81" s="17"/>
      <c r="D81" s="7" t="s">
        <v>274</v>
      </c>
      <c r="E81" s="7" t="s">
        <v>275</v>
      </c>
      <c r="G81" s="1">
        <f>B83/31</f>
        <v>94957.164258064528</v>
      </c>
    </row>
    <row r="82" spans="1:9" x14ac:dyDescent="0.3">
      <c r="A82" s="5" t="s">
        <v>101</v>
      </c>
      <c r="B82" s="16" t="s">
        <v>276</v>
      </c>
      <c r="C82" s="17"/>
      <c r="D82" s="7" t="s">
        <v>277</v>
      </c>
      <c r="E82" s="7" t="s">
        <v>278</v>
      </c>
    </row>
    <row r="83" spans="1:9" x14ac:dyDescent="0.3">
      <c r="A83" s="4" t="s">
        <v>111</v>
      </c>
      <c r="B83" s="18" t="s">
        <v>279</v>
      </c>
      <c r="C83" s="19"/>
      <c r="D83" s="9" t="s">
        <v>280</v>
      </c>
      <c r="E83" s="9" t="s">
        <v>281</v>
      </c>
      <c r="G83" s="1">
        <f>D83/B83</f>
        <v>2723.0671127278533</v>
      </c>
      <c r="I83" s="1">
        <f>D83/B83</f>
        <v>2723.0671127278533</v>
      </c>
    </row>
    <row r="84" spans="1:9" x14ac:dyDescent="0.3">
      <c r="A84" s="20" t="s">
        <v>111</v>
      </c>
      <c r="B84" s="21"/>
      <c r="C84" s="21"/>
      <c r="D84" s="9" t="s">
        <v>282</v>
      </c>
      <c r="E84" s="9" t="s">
        <v>283</v>
      </c>
    </row>
    <row r="85" spans="1:9" x14ac:dyDescent="0.3">
      <c r="A85" s="2" t="s">
        <v>4</v>
      </c>
      <c r="B85" s="12" t="s">
        <v>5</v>
      </c>
      <c r="C85" s="13"/>
      <c r="D85" s="2" t="s">
        <v>6</v>
      </c>
      <c r="E85" s="2" t="s">
        <v>7</v>
      </c>
    </row>
    <row r="86" spans="1:9" x14ac:dyDescent="0.3">
      <c r="A86" s="3"/>
      <c r="B86" s="12" t="s">
        <v>121</v>
      </c>
      <c r="C86" s="13"/>
      <c r="D86" s="2" t="s">
        <v>10</v>
      </c>
      <c r="E86" s="2" t="s">
        <v>10</v>
      </c>
    </row>
    <row r="87" spans="1:9" x14ac:dyDescent="0.3">
      <c r="A87" s="10" t="s">
        <v>111</v>
      </c>
      <c r="B87" s="14">
        <v>0</v>
      </c>
      <c r="C87" s="15"/>
      <c r="D87" s="11">
        <v>0</v>
      </c>
      <c r="E87" s="11">
        <v>0</v>
      </c>
    </row>
    <row r="1048413" ht="12.75" customHeight="1" x14ac:dyDescent="0.3"/>
    <row r="1048414" ht="12.75" customHeight="1" x14ac:dyDescent="0.3"/>
    <row r="1048415" ht="12.75" customHeight="1" x14ac:dyDescent="0.3"/>
    <row r="1048416" ht="12.75" customHeight="1" x14ac:dyDescent="0.3"/>
    <row r="1048417" ht="12.75" customHeight="1" x14ac:dyDescent="0.3"/>
    <row r="1048418" ht="12.75" customHeight="1" x14ac:dyDescent="0.3"/>
    <row r="1048419" ht="12.75" customHeight="1" x14ac:dyDescent="0.3"/>
    <row r="1048420" ht="12.75" customHeight="1" x14ac:dyDescent="0.3"/>
    <row r="1048421" ht="12.75" customHeight="1" x14ac:dyDescent="0.3"/>
    <row r="1048422" ht="12.75" customHeight="1" x14ac:dyDescent="0.3"/>
    <row r="1048423" ht="12.75" customHeight="1" x14ac:dyDescent="0.3"/>
    <row r="1048424" ht="12.75" customHeight="1" x14ac:dyDescent="0.3"/>
    <row r="1048425" ht="12.75" customHeight="1" x14ac:dyDescent="0.3"/>
    <row r="1048426" ht="12.75" customHeight="1" x14ac:dyDescent="0.3"/>
    <row r="1048427" ht="12.75" customHeight="1" x14ac:dyDescent="0.3"/>
    <row r="1048428" ht="12.75" customHeight="1" x14ac:dyDescent="0.3"/>
    <row r="1048429" ht="12.75" customHeight="1" x14ac:dyDescent="0.3"/>
    <row r="1048430" ht="12.75" customHeight="1" x14ac:dyDescent="0.3"/>
    <row r="1048431" ht="12.75" customHeight="1" x14ac:dyDescent="0.3"/>
    <row r="1048432" ht="12.75" customHeight="1" x14ac:dyDescent="0.3"/>
    <row r="1048433" ht="12.75" customHeight="1" x14ac:dyDescent="0.3"/>
    <row r="1048434" ht="12.75" customHeight="1" x14ac:dyDescent="0.3"/>
    <row r="1048435" ht="12.75" customHeight="1" x14ac:dyDescent="0.3"/>
    <row r="1048436" ht="12.75" customHeight="1" x14ac:dyDescent="0.3"/>
    <row r="1048437" ht="12.75" customHeight="1" x14ac:dyDescent="0.3"/>
    <row r="1048438" ht="12.75" customHeight="1" x14ac:dyDescent="0.3"/>
    <row r="1048439" ht="12.75" customHeight="1" x14ac:dyDescent="0.3"/>
    <row r="1048440" ht="12.75" customHeight="1" x14ac:dyDescent="0.3"/>
    <row r="1048441" ht="12.75" customHeight="1" x14ac:dyDescent="0.3"/>
    <row r="1048442" ht="12.75" customHeight="1" x14ac:dyDescent="0.3"/>
    <row r="1048443" ht="12.75" customHeight="1" x14ac:dyDescent="0.3"/>
    <row r="1048444" ht="12.75" customHeight="1" x14ac:dyDescent="0.3"/>
    <row r="1048445" ht="12.75" customHeight="1" x14ac:dyDescent="0.3"/>
    <row r="1048446" ht="12.75" customHeight="1" x14ac:dyDescent="0.3"/>
    <row r="1048447" ht="12.75" customHeight="1" x14ac:dyDescent="0.3"/>
    <row r="1048448" ht="12.75" customHeight="1" x14ac:dyDescent="0.3"/>
    <row r="1048449" ht="12.75" customHeight="1" x14ac:dyDescent="0.3"/>
    <row r="1048450" ht="12.75" customHeight="1" x14ac:dyDescent="0.3"/>
    <row r="1048451" ht="12.75" customHeight="1" x14ac:dyDescent="0.3"/>
    <row r="1048452" ht="12.75" customHeight="1" x14ac:dyDescent="0.3"/>
    <row r="1048453" ht="12.75" customHeight="1" x14ac:dyDescent="0.3"/>
    <row r="1048454" ht="12.75" customHeight="1" x14ac:dyDescent="0.3"/>
    <row r="1048455" ht="12.75" customHeight="1" x14ac:dyDescent="0.3"/>
    <row r="1048456" ht="12.75" customHeight="1" x14ac:dyDescent="0.3"/>
    <row r="1048457" ht="12.75" customHeight="1" x14ac:dyDescent="0.3"/>
    <row r="1048458" ht="12.75" customHeight="1" x14ac:dyDescent="0.3"/>
    <row r="1048459" ht="12.75" customHeight="1" x14ac:dyDescent="0.3"/>
    <row r="1048460" ht="12.75" customHeight="1" x14ac:dyDescent="0.3"/>
    <row r="1048461" ht="12.75" customHeight="1" x14ac:dyDescent="0.3"/>
    <row r="1048462" ht="12.75" customHeight="1" x14ac:dyDescent="0.3"/>
    <row r="1048463" ht="12.75" customHeight="1" x14ac:dyDescent="0.3"/>
    <row r="1048464" ht="12.75" customHeight="1" x14ac:dyDescent="0.3"/>
    <row r="1048465" ht="12.75" customHeight="1" x14ac:dyDescent="0.3"/>
    <row r="1048466" ht="12.75" customHeight="1" x14ac:dyDescent="0.3"/>
    <row r="1048467" ht="12.75" customHeight="1" x14ac:dyDescent="0.3"/>
    <row r="1048468" ht="12.75" customHeight="1" x14ac:dyDescent="0.3"/>
    <row r="1048469" ht="12.75" customHeight="1" x14ac:dyDescent="0.3"/>
    <row r="1048470" ht="12.75" customHeight="1" x14ac:dyDescent="0.3"/>
    <row r="1048471" ht="12.75" customHeight="1" x14ac:dyDescent="0.3"/>
    <row r="1048472" ht="12.75" customHeight="1" x14ac:dyDescent="0.3"/>
    <row r="1048473" ht="12.75" customHeight="1" x14ac:dyDescent="0.3"/>
    <row r="1048474" ht="12.75" customHeight="1" x14ac:dyDescent="0.3"/>
    <row r="1048475" ht="12.75" customHeight="1" x14ac:dyDescent="0.3"/>
    <row r="1048476" ht="12.75" customHeight="1" x14ac:dyDescent="0.3"/>
    <row r="1048477" ht="12.75" customHeight="1" x14ac:dyDescent="0.3"/>
    <row r="1048478" ht="12.75" customHeight="1" x14ac:dyDescent="0.3"/>
    <row r="1048479" ht="12.75" customHeight="1" x14ac:dyDescent="0.3"/>
    <row r="1048480" ht="12.75" customHeight="1" x14ac:dyDescent="0.3"/>
    <row r="1048481" ht="12.75" customHeight="1" x14ac:dyDescent="0.3"/>
    <row r="1048482" ht="12.75" customHeight="1" x14ac:dyDescent="0.3"/>
    <row r="1048483" ht="12.75" customHeight="1" x14ac:dyDescent="0.3"/>
    <row r="1048484" ht="12.75" customHeight="1" x14ac:dyDescent="0.3"/>
    <row r="1048485" ht="12.75" customHeight="1" x14ac:dyDescent="0.3"/>
    <row r="1048486" ht="12.75" customHeight="1" x14ac:dyDescent="0.3"/>
    <row r="1048487" ht="12.75" customHeight="1" x14ac:dyDescent="0.3"/>
    <row r="1048488" ht="12.75" customHeight="1" x14ac:dyDescent="0.3"/>
    <row r="1048489" ht="12.75" customHeight="1" x14ac:dyDescent="0.3"/>
    <row r="1048490" ht="12.75" customHeight="1" x14ac:dyDescent="0.3"/>
    <row r="1048491" ht="12.75" customHeight="1" x14ac:dyDescent="0.3"/>
    <row r="1048492" ht="12.75" customHeight="1" x14ac:dyDescent="0.3"/>
    <row r="1048493" ht="12.75" customHeight="1" x14ac:dyDescent="0.3"/>
    <row r="1048494" ht="12.75" customHeight="1" x14ac:dyDescent="0.3"/>
    <row r="1048495" ht="12.75" customHeight="1" x14ac:dyDescent="0.3"/>
    <row r="1048496" ht="12.75" customHeight="1" x14ac:dyDescent="0.3"/>
    <row r="1048497" ht="12.75" customHeight="1" x14ac:dyDescent="0.3"/>
    <row r="1048498" ht="12.75" customHeight="1" x14ac:dyDescent="0.3"/>
    <row r="1048499" ht="12.75" customHeight="1" x14ac:dyDescent="0.3"/>
    <row r="1048500" ht="12.75" customHeight="1" x14ac:dyDescent="0.3"/>
    <row r="1048501" ht="12.75" customHeight="1" x14ac:dyDescent="0.3"/>
    <row r="1048502" ht="12.75" customHeight="1" x14ac:dyDescent="0.3"/>
    <row r="1048503" ht="12.75" customHeight="1" x14ac:dyDescent="0.3"/>
    <row r="1048504" ht="12.75" customHeight="1" x14ac:dyDescent="0.3"/>
    <row r="1048505" ht="12.75" customHeight="1" x14ac:dyDescent="0.3"/>
    <row r="1048506" ht="12.75" customHeight="1" x14ac:dyDescent="0.3"/>
    <row r="1048507" ht="12.75" customHeight="1" x14ac:dyDescent="0.3"/>
    <row r="1048508" ht="12.75" customHeight="1" x14ac:dyDescent="0.3"/>
    <row r="1048509" ht="12.75" customHeight="1" x14ac:dyDescent="0.3"/>
    <row r="1048510" ht="12.75" customHeight="1" x14ac:dyDescent="0.3"/>
    <row r="1048511" ht="12.75" customHeight="1" x14ac:dyDescent="0.3"/>
    <row r="1048512" ht="12.75" customHeight="1" x14ac:dyDescent="0.3"/>
    <row r="1048513" ht="12.75" customHeight="1" x14ac:dyDescent="0.3"/>
    <row r="1048514" ht="12.75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64">
    <mergeCell ref="A1:E1"/>
    <mergeCell ref="A2:E2"/>
    <mergeCell ref="A3:E3"/>
    <mergeCell ref="A4:E4"/>
    <mergeCell ref="A5:A6"/>
    <mergeCell ref="B5:C5"/>
    <mergeCell ref="A32:E32"/>
    <mergeCell ref="A33:A3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E46"/>
    <mergeCell ref="A47:A48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5:C85"/>
    <mergeCell ref="B86:C86"/>
    <mergeCell ref="B87:C87"/>
    <mergeCell ref="B80:C80"/>
    <mergeCell ref="B81:C81"/>
    <mergeCell ref="B82:C82"/>
    <mergeCell ref="B83:C83"/>
    <mergeCell ref="A84:C84"/>
  </mergeCells>
  <pageMargins left="0.39374999999999999" right="0.39374999999999999" top="0.39374999999999999" bottom="0.39374999999999999" header="0.51180555555554996" footer="0.5118055555555499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40CA4B69967448E5E142573FA85FC" ma:contentTypeVersion="17" ma:contentTypeDescription="Create a new document." ma:contentTypeScope="" ma:versionID="3f19dfd05c72a4aa217b148f0f00ef59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3d61ddcb55407106f5563e5e5e5e7a99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D30901-4DA1-460F-A734-DB462573A564}">
  <ds:schemaRefs>
    <ds:schemaRef ds:uri="http://schemas.microsoft.com/office/2006/metadata/properties"/>
    <ds:schemaRef ds:uri="http://schemas.microsoft.com/office/infopath/2007/PartnerControls"/>
    <ds:schemaRef ds:uri="7e9ead7b-6342-4494-9745-aa11ca9090cb"/>
    <ds:schemaRef ds:uri="9e595a92-2a84-46d4-9885-e168ac7f98a1"/>
  </ds:schemaRefs>
</ds:datastoreItem>
</file>

<file path=customXml/itemProps2.xml><?xml version="1.0" encoding="utf-8"?>
<ds:datastoreItem xmlns:ds="http://schemas.openxmlformats.org/officeDocument/2006/customXml" ds:itemID="{027EB7A3-5605-4206-B899-2DCA6BC77F99}"/>
</file>

<file path=customXml/itemProps3.xml><?xml version="1.0" encoding="utf-8"?>
<ds:datastoreItem xmlns:ds="http://schemas.openxmlformats.org/officeDocument/2006/customXml" ds:itemID="{363A9D3C-AE6D-480F-9A02-169E209F68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กรกฎาคม 2569</vt:lpstr>
      <vt:lpstr>'กรกฎาคม 2569'!Print_Area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Pimpen Piyawanitchpong</cp:lastModifiedBy>
  <dcterms:created xsi:type="dcterms:W3CDTF">2019-03-30T03:25:20Z</dcterms:created>
  <dcterms:modified xsi:type="dcterms:W3CDTF">2026-09-17T02:48:10Z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ategory">
    <vt:lpwstr>Test result file</vt:lpwstr>
  </property>
  <property fmtid="{D5CDD505-2E9C-101B-9397-08002B2CF9AE}" pid="10" name="ContentTypeId">
    <vt:lpwstr>0x010100CCB40CA4B69967448E5E142573FA85FC</vt:lpwstr>
  </property>
  <property fmtid="{D5CDD505-2E9C-101B-9397-08002B2CF9AE}" pid="11" name="MediaServiceImageTags">
    <vt:lpwstr/>
  </property>
</Properties>
</file>