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titorg.sharepoint.com/sites/PTITFocusStatistics/Shared Documents/General/2026 PTIT Focus/PL/SOURCE/DMF/Sale/"/>
    </mc:Choice>
  </mc:AlternateContent>
  <xr:revisionPtr revIDLastSave="7" documentId="11_67410A9549B470F405F4DB63042B396E51FE4535" xr6:coauthVersionLast="47" xr6:coauthVersionMax="47" xr10:uidLastSave="{F78CEA5C-399F-4E74-AC83-B2B72F76FCD2}"/>
  <bookViews>
    <workbookView xWindow="-108" yWindow="-108" windowWidth="23256" windowHeight="12456" xr2:uid="{00000000-000D-0000-FFFF-FFFF00000000}"/>
  </bookViews>
  <sheets>
    <sheet name="พฤษภาคม 2569" sheetId="1" r:id="rId1"/>
  </sheets>
  <definedNames>
    <definedName name="_xlnm.Print_Area" localSheetId="0">'พฤษภาคม 2569'!$A$1:$E$93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8" i="1" l="1"/>
  <c r="I45" i="1"/>
  <c r="I32" i="1"/>
  <c r="G88" i="1" l="1"/>
  <c r="G45" i="1"/>
  <c r="G32" i="1"/>
</calcChain>
</file>

<file path=xl/sharedStrings.xml><?xml version="1.0" encoding="utf-8"?>
<sst xmlns="http://schemas.openxmlformats.org/spreadsheetml/2006/main" count="344" uniqueCount="300">
  <si>
    <t>รายงานมูลค่าการขายปิโตรเลียมและค่าภาคหลวง</t>
  </si>
  <si>
    <t>พฤษภาคม 2569</t>
  </si>
  <si>
    <t>แก้ไข3 ก.ค. 2569</t>
  </si>
  <si>
    <t>ก๊าซธรรมชาติ</t>
  </si>
  <si>
    <t>แหล่ง</t>
  </si>
  <si>
    <t>ปริมาณการขายรายเดือน</t>
  </si>
  <si>
    <t>มูลค่า</t>
  </si>
  <si>
    <t>ค่าภาคหลวง</t>
  </si>
  <si>
    <t>(ล้านลบ.ฟุต)</t>
  </si>
  <si>
    <t>(ล้านบีทียู)</t>
  </si>
  <si>
    <t>(บาท)</t>
  </si>
  <si>
    <t>อาทิตย์</t>
  </si>
  <si>
    <t>11,525.4690</t>
  </si>
  <si>
    <t>11,238,320.0000</t>
  </si>
  <si>
    <t>2,877,790,983.24</t>
  </si>
  <si>
    <t>359,723,872.90</t>
  </si>
  <si>
    <t>เบญจมาศ</t>
  </si>
  <si>
    <t>1,120.2255</t>
  </si>
  <si>
    <t>1,188,308.0000</t>
  </si>
  <si>
    <t>262,584,850.12</t>
  </si>
  <si>
    <t>29,739,545.84</t>
  </si>
  <si>
    <t>บูรพา</t>
  </si>
  <si>
    <t>1,325.5680</t>
  </si>
  <si>
    <t>67,961.87</t>
  </si>
  <si>
    <t>3,398.09</t>
  </si>
  <si>
    <t>ชบา</t>
  </si>
  <si>
    <t>9,786.0000</t>
  </si>
  <si>
    <t>2,164,527.17</t>
  </si>
  <si>
    <t>245,147.64</t>
  </si>
  <si>
    <t>G12/48</t>
  </si>
  <si>
    <t>156,187.0000</t>
  </si>
  <si>
    <t>42,375,063.73</t>
  </si>
  <si>
    <t>2,118,753.19</t>
  </si>
  <si>
    <t>ลันตา</t>
  </si>
  <si>
    <t>149,109.0000</t>
  </si>
  <si>
    <t>32,942,071.02</t>
  </si>
  <si>
    <t>2,549,676.58</t>
  </si>
  <si>
    <t>มะลิวัลย์</t>
  </si>
  <si>
    <t>1,172.7594</t>
  </si>
  <si>
    <t>1,243,774.0000</t>
  </si>
  <si>
    <t>274,784,884.31</t>
  </si>
  <si>
    <t>31,121,283.88</t>
  </si>
  <si>
    <t>มรกต_G7/50</t>
  </si>
  <si>
    <t>20,951.0000</t>
  </si>
  <si>
    <t>4,825,970.67</t>
  </si>
  <si>
    <t>241,298.53</t>
  </si>
  <si>
    <t>มรกต</t>
  </si>
  <si>
    <t>4,679.3616</t>
  </si>
  <si>
    <t>4,583,809.0000</t>
  </si>
  <si>
    <t>1,055,860,234.39</t>
  </si>
  <si>
    <t>131,982,529.30</t>
  </si>
  <si>
    <t>น้ำพอง</t>
  </si>
  <si>
    <t>160,461.0000</t>
  </si>
  <si>
    <t>43,677,459.24</t>
  </si>
  <si>
    <t>5,459,682.41</t>
  </si>
  <si>
    <t>ไพลินเหนือ</t>
  </si>
  <si>
    <t>5,931.0249</t>
  </si>
  <si>
    <t>5,707,444.0000</t>
  </si>
  <si>
    <t>1,314,684,612.64</t>
  </si>
  <si>
    <t>164,335,576.58</t>
  </si>
  <si>
    <t>ตราด</t>
  </si>
  <si>
    <t>33,092.0000</t>
  </si>
  <si>
    <t>6,542,314.87</t>
  </si>
  <si>
    <t>817,789.36</t>
  </si>
  <si>
    <t>ไพลิน</t>
  </si>
  <si>
    <t>2,750.3450</t>
  </si>
  <si>
    <t>2,692,417.0000</t>
  </si>
  <si>
    <t>620,186,409.32</t>
  </si>
  <si>
    <t>77,523,301.16</t>
  </si>
  <si>
    <t>สินภูฮ่อม_E5N</t>
  </si>
  <si>
    <t>657,764.0000</t>
  </si>
  <si>
    <t>152,360,432.81</t>
  </si>
  <si>
    <t>19,045,054.10</t>
  </si>
  <si>
    <t>สินภูฮ่อม_EU1</t>
  </si>
  <si>
    <t>2,429.6330</t>
  </si>
  <si>
    <t>2,631,056.0000</t>
  </si>
  <si>
    <t>609,442,041.47</t>
  </si>
  <si>
    <t>76,180,255.19</t>
  </si>
  <si>
    <t>สิริกิติ์_NGV</t>
  </si>
  <si>
    <t>92,267.0000</t>
  </si>
  <si>
    <t>20,361,470.92</t>
  </si>
  <si>
    <t>2,545,183.87</t>
  </si>
  <si>
    <t>สิริกิติ์_ประดู่เฒ่า_A</t>
  </si>
  <si>
    <t>9,138.9090</t>
  </si>
  <si>
    <t>520,369.48</t>
  </si>
  <si>
    <t>65,046.19</t>
  </si>
  <si>
    <t>สิริกิติ์_เสาเถียร</t>
  </si>
  <si>
    <t>4,834.6340</t>
  </si>
  <si>
    <t>297,876.79</t>
  </si>
  <si>
    <t>37,234.60</t>
  </si>
  <si>
    <t>สิริกิติ์_กลุ่มแม่บ้าน</t>
  </si>
  <si>
    <t>3,600.6770</t>
  </si>
  <si>
    <t>715,562.54</t>
  </si>
  <si>
    <t>89,445.32</t>
  </si>
  <si>
    <t>สุรินทร์</t>
  </si>
  <si>
    <t>6,527.0000</t>
  </si>
  <si>
    <t>1,441,650.80</t>
  </si>
  <si>
    <t>111,582.03</t>
  </si>
  <si>
    <t>ตราด_11A</t>
  </si>
  <si>
    <t>8,076.8910</t>
  </si>
  <si>
    <t>1,596,807.82</t>
  </si>
  <si>
    <t>199,600.98</t>
  </si>
  <si>
    <t>ยะลา_10A</t>
  </si>
  <si>
    <t>32,303.3800</t>
  </si>
  <si>
    <t>6,386,404.07</t>
  </si>
  <si>
    <t>798,300.51</t>
  </si>
  <si>
    <t>ยุงทอง</t>
  </si>
  <si>
    <t>7,908.03</t>
  </si>
  <si>
    <t>G1/61</t>
  </si>
  <si>
    <t>25,186.4460</t>
  </si>
  <si>
    <t>23,035,384.0000</t>
  </si>
  <si>
    <t>3,378,714,948.20</t>
  </si>
  <si>
    <t>1,256,881,960.73</t>
  </si>
  <si>
    <t>G2/61</t>
  </si>
  <si>
    <t>23,142.7530</t>
  </si>
  <si>
    <t>22,368,971.0000</t>
  </si>
  <si>
    <t>3,280,968,821.43</t>
  </si>
  <si>
    <t>1,246,768,152.14</t>
  </si>
  <si>
    <t>รวมทั้งหมด</t>
  </si>
  <si>
    <t>79,995.0593</t>
  </si>
  <si>
    <t>76,034,947.0590</t>
  </si>
  <si>
    <t>13,991,301,636.95</t>
  </si>
  <si>
    <t>3,408,584,066.52</t>
  </si>
  <si>
    <t>สิริกิติ์ (LPG*, kgs.)</t>
  </si>
  <si>
    <t>5,214,750.0000</t>
  </si>
  <si>
    <t>87,702,186.94</t>
  </si>
  <si>
    <t>10,962,773.33</t>
  </si>
  <si>
    <t>ก๊าซธรรมชาติเหลว</t>
  </si>
  <si>
    <t>(บาร์เรล)</t>
  </si>
  <si>
    <t>540,178.0000</t>
  </si>
  <si>
    <t>1,765,780,559.43</t>
  </si>
  <si>
    <t>220,722,569.93</t>
  </si>
  <si>
    <t>1,061.0000</t>
  </si>
  <si>
    <t>3,477,072.10</t>
  </si>
  <si>
    <t>173,853.60</t>
  </si>
  <si>
    <t>199,306.0000</t>
  </si>
  <si>
    <t>653,079,540.12</t>
  </si>
  <si>
    <t>81,634,942.52</t>
  </si>
  <si>
    <t>177,481.0000</t>
  </si>
  <si>
    <t>581,639,588.80</t>
  </si>
  <si>
    <t>72,704,948.60</t>
  </si>
  <si>
    <t>124,526.0000</t>
  </si>
  <si>
    <t>408,207,152.19</t>
  </si>
  <si>
    <t>51,025,894.02</t>
  </si>
  <si>
    <t>1,146.5500</t>
  </si>
  <si>
    <t>3,643,277.42</t>
  </si>
  <si>
    <t>455,409.68</t>
  </si>
  <si>
    <t>4,586.0300</t>
  </si>
  <si>
    <t>14,572,569.54</t>
  </si>
  <si>
    <t>1,821,571.19</t>
  </si>
  <si>
    <t>464,467.54</t>
  </si>
  <si>
    <t>58,058.45</t>
  </si>
  <si>
    <t>603,696.0000</t>
  </si>
  <si>
    <t>1,961,197,480.34</t>
  </si>
  <si>
    <t>729,565,462.55</t>
  </si>
  <si>
    <t>1,652,122.5800</t>
  </si>
  <si>
    <t>5,392,061,707.48</t>
  </si>
  <si>
    <t>1,158,162,710.54</t>
  </si>
  <si>
    <t>น้ำมันดิบ</t>
  </si>
  <si>
    <t>AA</t>
  </si>
  <si>
    <t>246,399.67</t>
  </si>
  <si>
    <t>12,319.97</t>
  </si>
  <si>
    <t>อรุโณทัย</t>
  </si>
  <si>
    <t>2,014,802.18</t>
  </si>
  <si>
    <t>100,740.11</t>
  </si>
  <si>
    <t>422,427.0000</t>
  </si>
  <si>
    <t>1,511,758,771.98</t>
  </si>
  <si>
    <t>171,217,110.51</t>
  </si>
  <si>
    <t>บัวหลวง</t>
  </si>
  <si>
    <t>307,255.5700</t>
  </si>
  <si>
    <t>1,170,147,811.21</t>
  </si>
  <si>
    <t>93,427,120.65</t>
  </si>
  <si>
    <t>บึงหญ้าหนองสา</t>
  </si>
  <si>
    <t>7,251.5000</t>
  </si>
  <si>
    <t>28,338,223.87</t>
  </si>
  <si>
    <t>1,416,911.19</t>
  </si>
  <si>
    <t>6,330.4430</t>
  </si>
  <si>
    <t>25,399,303.48</t>
  </si>
  <si>
    <t>1,269,965.19</t>
  </si>
  <si>
    <t>78,157.0000</t>
  </si>
  <si>
    <t>313,713,624.18</t>
  </si>
  <si>
    <t>35,530,232.23</t>
  </si>
  <si>
    <t>ดีดี</t>
  </si>
  <si>
    <t>34,325.2830</t>
  </si>
  <si>
    <t>129,388,502.09</t>
  </si>
  <si>
    <t>6,469,425.11</t>
  </si>
  <si>
    <t>นาสนุนตะวันออก</t>
  </si>
  <si>
    <t>3,536.5810</t>
  </si>
  <si>
    <t>13,483,214.36</t>
  </si>
  <si>
    <t>674,160.72</t>
  </si>
  <si>
    <t>จัสมิน</t>
  </si>
  <si>
    <t>331,785.0000</t>
  </si>
  <si>
    <t>1,132,895,215.76</t>
  </si>
  <si>
    <t>141,611,901.97</t>
  </si>
  <si>
    <t>กำแพงแสน</t>
  </si>
  <si>
    <t>1,106.9350</t>
  </si>
  <si>
    <t>4,303,138.08</t>
  </si>
  <si>
    <t>215,156.91</t>
  </si>
  <si>
    <t>L1/64 บึงหญ้า</t>
  </si>
  <si>
    <t>13,635.4610</t>
  </si>
  <si>
    <t>53,286,181.67</t>
  </si>
  <si>
    <t>2,664,309.08</t>
  </si>
  <si>
    <t>L33</t>
  </si>
  <si>
    <t>1,690,339.34</t>
  </si>
  <si>
    <t>84,516.97</t>
  </si>
  <si>
    <t>L53A</t>
  </si>
  <si>
    <t>3,078,740.67</t>
  </si>
  <si>
    <t>153,937.04</t>
  </si>
  <si>
    <t>L53D</t>
  </si>
  <si>
    <t>4,772.9490</t>
  </si>
  <si>
    <t>17,991,540.57</t>
  </si>
  <si>
    <t>899,577.03</t>
  </si>
  <si>
    <t>L53G</t>
  </si>
  <si>
    <t>1,549.2480</t>
  </si>
  <si>
    <t>5,839,860.90</t>
  </si>
  <si>
    <t>291,993.05</t>
  </si>
  <si>
    <t>193,269.0000</t>
  </si>
  <si>
    <t>694,542,771.98</t>
  </si>
  <si>
    <t>53,756,773.24</t>
  </si>
  <si>
    <t>41,091.0000</t>
  </si>
  <si>
    <t>147,724,586.72</t>
  </si>
  <si>
    <t>16,730,828.59</t>
  </si>
  <si>
    <t>หนองผักชี_เอ</t>
  </si>
  <si>
    <t>1,774.4860</t>
  </si>
  <si>
    <t>6,898,199.34</t>
  </si>
  <si>
    <t>344,909.97</t>
  </si>
  <si>
    <t>หนองผักชี_บี</t>
  </si>
  <si>
    <t>2,298.8860</t>
  </si>
  <si>
    <t>8,936,770.36</t>
  </si>
  <si>
    <t>446,838.52</t>
  </si>
  <si>
    <t>หนองผักชี_ซี</t>
  </si>
  <si>
    <t>7,565.6480</t>
  </si>
  <si>
    <t>29,410,966.35</t>
  </si>
  <si>
    <t>1,470,548.32</t>
  </si>
  <si>
    <t>หนองผักชี_ดี</t>
  </si>
  <si>
    <t>1,074.4110</t>
  </si>
  <si>
    <t>4,176,703.14</t>
  </si>
  <si>
    <t>208,835.16</t>
  </si>
  <si>
    <t>หนองผักชี จี</t>
  </si>
  <si>
    <t>9,985.1330</t>
  </si>
  <si>
    <t>38,816,557.50</t>
  </si>
  <si>
    <t>1,940,827.86</t>
  </si>
  <si>
    <t>นงเยาว์</t>
  </si>
  <si>
    <t>575,289.0000</t>
  </si>
  <si>
    <t>2,099,518,806.52</t>
  </si>
  <si>
    <t>211,803,000.69</t>
  </si>
  <si>
    <t>บ่อรังเหนือ</t>
  </si>
  <si>
    <t>3,155,185.63</t>
  </si>
  <si>
    <t>157,759.29</t>
  </si>
  <si>
    <t>3,430.0000</t>
  </si>
  <si>
    <t>13,767,643.73</t>
  </si>
  <si>
    <t>1,720,955.45</t>
  </si>
  <si>
    <t>รสสุคนธ์</t>
  </si>
  <si>
    <t>268,654.0000</t>
  </si>
  <si>
    <t>933,572,231.37</t>
  </si>
  <si>
    <t>71,204,107.22</t>
  </si>
  <si>
    <t>สังขจาย</t>
  </si>
  <si>
    <t>1,122.2130</t>
  </si>
  <si>
    <t>4,367,996.39</t>
  </si>
  <si>
    <t>218,399.82</t>
  </si>
  <si>
    <t>สิริกิติ์</t>
  </si>
  <si>
    <t>750,715.7480</t>
  </si>
  <si>
    <t>2,416,765,711.87</t>
  </si>
  <si>
    <t>302,095,714.01</t>
  </si>
  <si>
    <t>73,232.0000</t>
  </si>
  <si>
    <t>263,742,889.07</t>
  </si>
  <si>
    <t>20,413,381.67</t>
  </si>
  <si>
    <t>อู่ทอง</t>
  </si>
  <si>
    <t>2,014.8200</t>
  </si>
  <si>
    <t>7,832,482.19</t>
  </si>
  <si>
    <t>391,624.11</t>
  </si>
  <si>
    <t>วังไผ่สูง</t>
  </si>
  <si>
    <t>1,376.9790</t>
  </si>
  <si>
    <t>4,363,616.43</t>
  </si>
  <si>
    <t>218,180.82</t>
  </si>
  <si>
    <t>วาสนา</t>
  </si>
  <si>
    <t>185,572.0000</t>
  </si>
  <si>
    <t>664,228,288.75</t>
  </si>
  <si>
    <t>43,604,433.10</t>
  </si>
  <si>
    <t>วิเชียรบุรีศรีเทพ</t>
  </si>
  <si>
    <t>1,950.5990</t>
  </si>
  <si>
    <t>7,334,244.44</t>
  </si>
  <si>
    <t>366,712.22</t>
  </si>
  <si>
    <t>วิเชียรบุรีส่วนขยาย-3</t>
  </si>
  <si>
    <t>825,754.97</t>
  </si>
  <si>
    <t>41,287.75</t>
  </si>
  <si>
    <t>106,571.0000</t>
  </si>
  <si>
    <t>427,764,303.16</t>
  </si>
  <si>
    <t>53,470,537.90</t>
  </si>
  <si>
    <t>1,847.0000</t>
  </si>
  <si>
    <t>7,413,655.38</t>
  </si>
  <si>
    <t>370,682.77</t>
  </si>
  <si>
    <t>457,977.0000</t>
  </si>
  <si>
    <t>1,490,889,360.41</t>
  </si>
  <si>
    <t>554,610,842.08</t>
  </si>
  <si>
    <t>3,901,829.3650</t>
  </si>
  <si>
    <t>13,689,624,395.71</t>
  </si>
  <si>
    <t>1,791,626,558.29</t>
  </si>
  <si>
    <t>33,160,689,927.08</t>
  </si>
  <si>
    <t>6,369,336,108.68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</si>
</sst>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24">
    <xf numFmtId="0" fontId="0" fillId="2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right" vertical="center"/>
    </xf>
    <xf numFmtId="4" fontId="1" fillId="2" borderId="1" xfId="0" applyNumberFormat="1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left" vertical="center"/>
    </xf>
    <xf numFmtId="4" fontId="2" fillId="2" borderId="2" xfId="0" applyNumberFormat="1" applyFont="1" applyFill="1" applyBorder="1" applyAlignment="1">
      <alignment horizontal="right" vertical="center"/>
    </xf>
    <xf numFmtId="164" fontId="2" fillId="2" borderId="2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048576"/>
  <sheetViews>
    <sheetView tabSelected="1" topLeftCell="A66" workbookViewId="0">
      <selection activeCell="I89" sqref="I89"/>
    </sheetView>
  </sheetViews>
  <sheetFormatPr defaultRowHeight="14.4" x14ac:dyDescent="0.3"/>
  <cols>
    <col min="1" max="1" width="28.6640625" style="1" customWidth="1"/>
    <col min="2" max="3" width="14" style="1" customWidth="1"/>
    <col min="4" max="5" width="19.33203125" style="1" customWidth="1"/>
    <col min="6" max="6" width="8.6640625" style="1" customWidth="1"/>
    <col min="7" max="7" width="12.5546875" style="1" customWidth="1"/>
    <col min="8" max="1025" width="8.6640625" style="1" customWidth="1"/>
  </cols>
  <sheetData>
    <row r="1" spans="1:5" ht="17.100000000000001" customHeight="1" x14ac:dyDescent="0.3">
      <c r="A1" s="20" t="s">
        <v>0</v>
      </c>
      <c r="B1" s="20"/>
      <c r="C1" s="20"/>
      <c r="D1" s="20"/>
      <c r="E1" s="20"/>
    </row>
    <row r="2" spans="1:5" ht="17.100000000000001" customHeight="1" x14ac:dyDescent="0.3">
      <c r="A2" s="20" t="s">
        <v>1</v>
      </c>
      <c r="B2" s="20"/>
      <c r="C2" s="20"/>
      <c r="D2" s="20"/>
      <c r="E2" s="20"/>
    </row>
    <row r="3" spans="1:5" ht="17.100000000000001" customHeight="1" x14ac:dyDescent="0.3">
      <c r="A3" s="23" t="s">
        <v>2</v>
      </c>
      <c r="B3" s="23"/>
      <c r="C3" s="23"/>
      <c r="D3" s="23"/>
      <c r="E3" s="23"/>
    </row>
    <row r="4" spans="1:5" x14ac:dyDescent="0.3">
      <c r="A4" s="22" t="s">
        <v>3</v>
      </c>
      <c r="B4" s="17"/>
      <c r="C4" s="17"/>
      <c r="D4" s="17"/>
      <c r="E4" s="17"/>
    </row>
    <row r="5" spans="1:5" x14ac:dyDescent="0.3">
      <c r="A5" s="18" t="s">
        <v>4</v>
      </c>
      <c r="B5" s="18" t="s">
        <v>5</v>
      </c>
      <c r="C5" s="17"/>
      <c r="D5" s="4" t="s">
        <v>6</v>
      </c>
      <c r="E5" s="4" t="s">
        <v>7</v>
      </c>
    </row>
    <row r="6" spans="1:5" x14ac:dyDescent="0.3">
      <c r="A6" s="17"/>
      <c r="B6" s="4" t="s">
        <v>8</v>
      </c>
      <c r="C6" s="4" t="s">
        <v>9</v>
      </c>
      <c r="D6" s="4" t="s">
        <v>10</v>
      </c>
      <c r="E6" s="4" t="s">
        <v>10</v>
      </c>
    </row>
    <row r="7" spans="1:5" x14ac:dyDescent="0.3">
      <c r="A7" s="5" t="s">
        <v>11</v>
      </c>
      <c r="B7" s="6" t="s">
        <v>12</v>
      </c>
      <c r="C7" s="6" t="s">
        <v>13</v>
      </c>
      <c r="D7" s="7" t="s">
        <v>14</v>
      </c>
      <c r="E7" s="7" t="s">
        <v>15</v>
      </c>
    </row>
    <row r="8" spans="1:5" x14ac:dyDescent="0.3">
      <c r="A8" s="5" t="s">
        <v>16</v>
      </c>
      <c r="B8" s="6" t="s">
        <v>17</v>
      </c>
      <c r="C8" s="6" t="s">
        <v>18</v>
      </c>
      <c r="D8" s="7" t="s">
        <v>19</v>
      </c>
      <c r="E8" s="7" t="s">
        <v>20</v>
      </c>
    </row>
    <row r="9" spans="1:5" x14ac:dyDescent="0.3">
      <c r="A9" s="5" t="s">
        <v>21</v>
      </c>
      <c r="B9" s="6">
        <v>764.93899999999996</v>
      </c>
      <c r="C9" s="6" t="s">
        <v>22</v>
      </c>
      <c r="D9" s="7" t="s">
        <v>23</v>
      </c>
      <c r="E9" s="7" t="s">
        <v>24</v>
      </c>
    </row>
    <row r="10" spans="1:5" x14ac:dyDescent="0.3">
      <c r="A10" s="5" t="s">
        <v>25</v>
      </c>
      <c r="B10" s="6">
        <v>11.918200000000001</v>
      </c>
      <c r="C10" s="6" t="s">
        <v>26</v>
      </c>
      <c r="D10" s="7" t="s">
        <v>27</v>
      </c>
      <c r="E10" s="7" t="s">
        <v>28</v>
      </c>
    </row>
    <row r="11" spans="1:5" x14ac:dyDescent="0.3">
      <c r="A11" s="5" t="s">
        <v>29</v>
      </c>
      <c r="B11" s="6">
        <v>157.227</v>
      </c>
      <c r="C11" s="6" t="s">
        <v>30</v>
      </c>
      <c r="D11" s="7" t="s">
        <v>31</v>
      </c>
      <c r="E11" s="7" t="s">
        <v>32</v>
      </c>
    </row>
    <row r="12" spans="1:5" x14ac:dyDescent="0.3">
      <c r="A12" s="5" t="s">
        <v>33</v>
      </c>
      <c r="B12" s="6">
        <v>140.5866</v>
      </c>
      <c r="C12" s="6" t="s">
        <v>34</v>
      </c>
      <c r="D12" s="7" t="s">
        <v>35</v>
      </c>
      <c r="E12" s="7" t="s">
        <v>36</v>
      </c>
    </row>
    <row r="13" spans="1:5" x14ac:dyDescent="0.3">
      <c r="A13" s="5" t="s">
        <v>37</v>
      </c>
      <c r="B13" s="6" t="s">
        <v>38</v>
      </c>
      <c r="C13" s="6" t="s">
        <v>39</v>
      </c>
      <c r="D13" s="7" t="s">
        <v>40</v>
      </c>
      <c r="E13" s="7" t="s">
        <v>41</v>
      </c>
    </row>
    <row r="14" spans="1:5" x14ac:dyDescent="0.3">
      <c r="A14" s="5" t="s">
        <v>42</v>
      </c>
      <c r="B14" s="6">
        <v>21.3826</v>
      </c>
      <c r="C14" s="6" t="s">
        <v>43</v>
      </c>
      <c r="D14" s="7" t="s">
        <v>44</v>
      </c>
      <c r="E14" s="7" t="s">
        <v>45</v>
      </c>
    </row>
    <row r="15" spans="1:5" x14ac:dyDescent="0.3">
      <c r="A15" s="5" t="s">
        <v>46</v>
      </c>
      <c r="B15" s="6" t="s">
        <v>47</v>
      </c>
      <c r="C15" s="6" t="s">
        <v>48</v>
      </c>
      <c r="D15" s="7" t="s">
        <v>49</v>
      </c>
      <c r="E15" s="7" t="s">
        <v>50</v>
      </c>
    </row>
    <row r="16" spans="1:5" x14ac:dyDescent="0.3">
      <c r="A16" s="5" t="s">
        <v>51</v>
      </c>
      <c r="B16" s="6">
        <v>168.35849999999999</v>
      </c>
      <c r="C16" s="6" t="s">
        <v>52</v>
      </c>
      <c r="D16" s="7" t="s">
        <v>53</v>
      </c>
      <c r="E16" s="7" t="s">
        <v>54</v>
      </c>
    </row>
    <row r="17" spans="1:9" x14ac:dyDescent="0.3">
      <c r="A17" s="5" t="s">
        <v>55</v>
      </c>
      <c r="B17" s="6" t="s">
        <v>56</v>
      </c>
      <c r="C17" s="6" t="s">
        <v>57</v>
      </c>
      <c r="D17" s="7" t="s">
        <v>58</v>
      </c>
      <c r="E17" s="7" t="s">
        <v>59</v>
      </c>
    </row>
    <row r="18" spans="1:9" x14ac:dyDescent="0.3">
      <c r="A18" s="5" t="s">
        <v>60</v>
      </c>
      <c r="B18" s="6">
        <v>34.823700000000002</v>
      </c>
      <c r="C18" s="6" t="s">
        <v>61</v>
      </c>
      <c r="D18" s="7" t="s">
        <v>62</v>
      </c>
      <c r="E18" s="7" t="s">
        <v>63</v>
      </c>
    </row>
    <row r="19" spans="1:9" x14ac:dyDescent="0.3">
      <c r="A19" s="5" t="s">
        <v>64</v>
      </c>
      <c r="B19" s="6" t="s">
        <v>65</v>
      </c>
      <c r="C19" s="6" t="s">
        <v>66</v>
      </c>
      <c r="D19" s="7" t="s">
        <v>67</v>
      </c>
      <c r="E19" s="7" t="s">
        <v>68</v>
      </c>
    </row>
    <row r="20" spans="1:9" x14ac:dyDescent="0.3">
      <c r="A20" s="5" t="s">
        <v>69</v>
      </c>
      <c r="B20" s="6">
        <v>607.40800000000002</v>
      </c>
      <c r="C20" s="6" t="s">
        <v>70</v>
      </c>
      <c r="D20" s="7" t="s">
        <v>71</v>
      </c>
      <c r="E20" s="7" t="s">
        <v>72</v>
      </c>
    </row>
    <row r="21" spans="1:9" x14ac:dyDescent="0.3">
      <c r="A21" s="5" t="s">
        <v>73</v>
      </c>
      <c r="B21" s="6" t="s">
        <v>74</v>
      </c>
      <c r="C21" s="6" t="s">
        <v>75</v>
      </c>
      <c r="D21" s="7" t="s">
        <v>76</v>
      </c>
      <c r="E21" s="7" t="s">
        <v>77</v>
      </c>
    </row>
    <row r="22" spans="1:9" x14ac:dyDescent="0.3">
      <c r="A22" s="5" t="s">
        <v>78</v>
      </c>
      <c r="B22" s="6">
        <v>85.912999999999997</v>
      </c>
      <c r="C22" s="6" t="s">
        <v>79</v>
      </c>
      <c r="D22" s="7" t="s">
        <v>80</v>
      </c>
      <c r="E22" s="7" t="s">
        <v>81</v>
      </c>
    </row>
    <row r="23" spans="1:9" x14ac:dyDescent="0.3">
      <c r="A23" s="5" t="s">
        <v>82</v>
      </c>
      <c r="B23" s="6">
        <v>5.7649999999999997</v>
      </c>
      <c r="C23" s="6" t="s">
        <v>83</v>
      </c>
      <c r="D23" s="7" t="s">
        <v>84</v>
      </c>
      <c r="E23" s="7" t="s">
        <v>85</v>
      </c>
    </row>
    <row r="24" spans="1:9" x14ac:dyDescent="0.3">
      <c r="A24" s="5" t="s">
        <v>86</v>
      </c>
      <c r="B24" s="6">
        <v>2.9390000000000001</v>
      </c>
      <c r="C24" s="6" t="s">
        <v>87</v>
      </c>
      <c r="D24" s="7" t="s">
        <v>88</v>
      </c>
      <c r="E24" s="7" t="s">
        <v>89</v>
      </c>
    </row>
    <row r="25" spans="1:9" x14ac:dyDescent="0.3">
      <c r="A25" s="5" t="s">
        <v>90</v>
      </c>
      <c r="B25" s="6">
        <v>2.5470000000000002</v>
      </c>
      <c r="C25" s="6" t="s">
        <v>91</v>
      </c>
      <c r="D25" s="7" t="s">
        <v>92</v>
      </c>
      <c r="E25" s="7" t="s">
        <v>93</v>
      </c>
    </row>
    <row r="26" spans="1:9" x14ac:dyDescent="0.3">
      <c r="A26" s="5" t="s">
        <v>94</v>
      </c>
      <c r="B26" s="6">
        <v>6.1565000000000003</v>
      </c>
      <c r="C26" s="6" t="s">
        <v>95</v>
      </c>
      <c r="D26" s="7" t="s">
        <v>96</v>
      </c>
      <c r="E26" s="7" t="s">
        <v>97</v>
      </c>
    </row>
    <row r="27" spans="1:9" x14ac:dyDescent="0.3">
      <c r="A27" s="5" t="s">
        <v>98</v>
      </c>
      <c r="B27" s="6">
        <v>7.8487</v>
      </c>
      <c r="C27" s="6" t="s">
        <v>99</v>
      </c>
      <c r="D27" s="7" t="s">
        <v>100</v>
      </c>
      <c r="E27" s="7" t="s">
        <v>101</v>
      </c>
    </row>
    <row r="28" spans="1:9" x14ac:dyDescent="0.3">
      <c r="A28" s="5" t="s">
        <v>102</v>
      </c>
      <c r="B28" s="6">
        <v>39.178899999999999</v>
      </c>
      <c r="C28" s="6" t="s">
        <v>103</v>
      </c>
      <c r="D28" s="7" t="s">
        <v>104</v>
      </c>
      <c r="E28" s="7" t="s">
        <v>105</v>
      </c>
    </row>
    <row r="29" spans="1:9" x14ac:dyDescent="0.3">
      <c r="A29" s="5" t="s">
        <v>106</v>
      </c>
      <c r="B29" s="6">
        <v>5.0200000000000002E-2</v>
      </c>
      <c r="C29" s="6">
        <v>40</v>
      </c>
      <c r="D29" s="7" t="s">
        <v>107</v>
      </c>
      <c r="E29" s="7">
        <v>395.4</v>
      </c>
    </row>
    <row r="30" spans="1:9" x14ac:dyDescent="0.3">
      <c r="A30" s="5" t="s">
        <v>108</v>
      </c>
      <c r="B30" s="6" t="s">
        <v>109</v>
      </c>
      <c r="C30" s="6" t="s">
        <v>110</v>
      </c>
      <c r="D30" s="7" t="s">
        <v>111</v>
      </c>
      <c r="E30" s="7" t="s">
        <v>112</v>
      </c>
    </row>
    <row r="31" spans="1:9" x14ac:dyDescent="0.3">
      <c r="A31" s="5" t="s">
        <v>113</v>
      </c>
      <c r="B31" s="6" t="s">
        <v>114</v>
      </c>
      <c r="C31" s="6" t="s">
        <v>115</v>
      </c>
      <c r="D31" s="7" t="s">
        <v>116</v>
      </c>
      <c r="E31" s="7" t="s">
        <v>117</v>
      </c>
    </row>
    <row r="32" spans="1:9" x14ac:dyDescent="0.3">
      <c r="A32" s="4" t="s">
        <v>118</v>
      </c>
      <c r="B32" s="8" t="s">
        <v>119</v>
      </c>
      <c r="C32" s="8" t="s">
        <v>120</v>
      </c>
      <c r="D32" s="9" t="s">
        <v>121</v>
      </c>
      <c r="E32" s="9" t="s">
        <v>122</v>
      </c>
      <c r="G32" s="1">
        <f>B32/31</f>
        <v>2580.4857838709677</v>
      </c>
      <c r="I32" s="1">
        <f>D32/C32</f>
        <v>184.01146023148178</v>
      </c>
    </row>
    <row r="33" spans="1:9" x14ac:dyDescent="0.3">
      <c r="A33" s="5" t="s">
        <v>123</v>
      </c>
      <c r="B33" s="6">
        <v>0</v>
      </c>
      <c r="C33" s="6" t="s">
        <v>124</v>
      </c>
      <c r="D33" s="7" t="s">
        <v>125</v>
      </c>
      <c r="E33" s="7" t="s">
        <v>126</v>
      </c>
    </row>
    <row r="34" spans="1:9" x14ac:dyDescent="0.3">
      <c r="A34" s="22" t="s">
        <v>127</v>
      </c>
      <c r="B34" s="17"/>
      <c r="C34" s="17"/>
      <c r="D34" s="17"/>
      <c r="E34" s="17"/>
    </row>
    <row r="35" spans="1:9" x14ac:dyDescent="0.3">
      <c r="A35" s="18" t="s">
        <v>4</v>
      </c>
      <c r="B35" s="18" t="s">
        <v>5</v>
      </c>
      <c r="C35" s="17"/>
      <c r="D35" s="4" t="s">
        <v>6</v>
      </c>
      <c r="E35" s="4" t="s">
        <v>7</v>
      </c>
    </row>
    <row r="36" spans="1:9" x14ac:dyDescent="0.3">
      <c r="A36" s="17"/>
      <c r="B36" s="18" t="s">
        <v>128</v>
      </c>
      <c r="C36" s="17"/>
      <c r="D36" s="4" t="s">
        <v>10</v>
      </c>
      <c r="E36" s="4" t="s">
        <v>10</v>
      </c>
    </row>
    <row r="37" spans="1:9" x14ac:dyDescent="0.3">
      <c r="A37" s="5" t="s">
        <v>11</v>
      </c>
      <c r="B37" s="14" t="s">
        <v>129</v>
      </c>
      <c r="C37" s="15"/>
      <c r="D37" s="7" t="s">
        <v>130</v>
      </c>
      <c r="E37" s="7" t="s">
        <v>131</v>
      </c>
    </row>
    <row r="38" spans="1:9" x14ac:dyDescent="0.3">
      <c r="A38" s="5" t="s">
        <v>42</v>
      </c>
      <c r="B38" s="14" t="s">
        <v>132</v>
      </c>
      <c r="C38" s="15"/>
      <c r="D38" s="7" t="s">
        <v>133</v>
      </c>
      <c r="E38" s="7" t="s">
        <v>134</v>
      </c>
    </row>
    <row r="39" spans="1:9" x14ac:dyDescent="0.3">
      <c r="A39" s="5" t="s">
        <v>46</v>
      </c>
      <c r="B39" s="14" t="s">
        <v>135</v>
      </c>
      <c r="C39" s="15"/>
      <c r="D39" s="7" t="s">
        <v>136</v>
      </c>
      <c r="E39" s="7" t="s">
        <v>137</v>
      </c>
    </row>
    <row r="40" spans="1:9" x14ac:dyDescent="0.3">
      <c r="A40" s="5" t="s">
        <v>55</v>
      </c>
      <c r="B40" s="14" t="s">
        <v>138</v>
      </c>
      <c r="C40" s="15"/>
      <c r="D40" s="7" t="s">
        <v>139</v>
      </c>
      <c r="E40" s="7" t="s">
        <v>140</v>
      </c>
    </row>
    <row r="41" spans="1:9" x14ac:dyDescent="0.3">
      <c r="A41" s="5" t="s">
        <v>64</v>
      </c>
      <c r="B41" s="14" t="s">
        <v>141</v>
      </c>
      <c r="C41" s="15"/>
      <c r="D41" s="7" t="s">
        <v>142</v>
      </c>
      <c r="E41" s="7" t="s">
        <v>143</v>
      </c>
    </row>
    <row r="42" spans="1:9" x14ac:dyDescent="0.3">
      <c r="A42" s="5" t="s">
        <v>69</v>
      </c>
      <c r="B42" s="14" t="s">
        <v>144</v>
      </c>
      <c r="C42" s="15"/>
      <c r="D42" s="7" t="s">
        <v>145</v>
      </c>
      <c r="E42" s="7" t="s">
        <v>146</v>
      </c>
    </row>
    <row r="43" spans="1:9" x14ac:dyDescent="0.3">
      <c r="A43" s="5" t="s">
        <v>73</v>
      </c>
      <c r="B43" s="14" t="s">
        <v>147</v>
      </c>
      <c r="C43" s="15"/>
      <c r="D43" s="7" t="s">
        <v>148</v>
      </c>
      <c r="E43" s="7" t="s">
        <v>149</v>
      </c>
    </row>
    <row r="44" spans="1:9" x14ac:dyDescent="0.3">
      <c r="A44" s="5" t="s">
        <v>98</v>
      </c>
      <c r="B44" s="14">
        <v>142</v>
      </c>
      <c r="C44" s="15"/>
      <c r="D44" s="7" t="s">
        <v>150</v>
      </c>
      <c r="E44" s="7" t="s">
        <v>151</v>
      </c>
    </row>
    <row r="45" spans="1:9" x14ac:dyDescent="0.3">
      <c r="A45" s="5" t="s">
        <v>108</v>
      </c>
      <c r="B45" s="14" t="s">
        <v>152</v>
      </c>
      <c r="C45" s="15"/>
      <c r="D45" s="7" t="s">
        <v>153</v>
      </c>
      <c r="E45" s="7" t="s">
        <v>154</v>
      </c>
      <c r="G45" s="1">
        <f>B46/31</f>
        <v>53294.276774193553</v>
      </c>
      <c r="I45" s="1">
        <f>D46/B46</f>
        <v>3263.7177003415809</v>
      </c>
    </row>
    <row r="46" spans="1:9" x14ac:dyDescent="0.3">
      <c r="A46" s="4" t="s">
        <v>118</v>
      </c>
      <c r="B46" s="16" t="s">
        <v>155</v>
      </c>
      <c r="C46" s="17"/>
      <c r="D46" s="9" t="s">
        <v>156</v>
      </c>
      <c r="E46" s="9" t="s">
        <v>157</v>
      </c>
    </row>
    <row r="47" spans="1:9" x14ac:dyDescent="0.3">
      <c r="A47" s="22" t="s">
        <v>158</v>
      </c>
      <c r="B47" s="17"/>
      <c r="C47" s="17"/>
      <c r="D47" s="17"/>
      <c r="E47" s="17"/>
    </row>
    <row r="48" spans="1:9" x14ac:dyDescent="0.3">
      <c r="A48" s="18" t="s">
        <v>4</v>
      </c>
      <c r="B48" s="18" t="s">
        <v>5</v>
      </c>
      <c r="C48" s="17"/>
      <c r="D48" s="4" t="s">
        <v>6</v>
      </c>
      <c r="E48" s="4" t="s">
        <v>7</v>
      </c>
    </row>
    <row r="49" spans="1:5" x14ac:dyDescent="0.3">
      <c r="A49" s="17"/>
      <c r="B49" s="18" t="s">
        <v>128</v>
      </c>
      <c r="C49" s="17"/>
      <c r="D49" s="4" t="s">
        <v>10</v>
      </c>
      <c r="E49" s="4" t="s">
        <v>10</v>
      </c>
    </row>
    <row r="50" spans="1:5" x14ac:dyDescent="0.3">
      <c r="A50" s="5" t="s">
        <v>159</v>
      </c>
      <c r="B50" s="14">
        <v>65.367000000000004</v>
      </c>
      <c r="C50" s="15"/>
      <c r="D50" s="7" t="s">
        <v>160</v>
      </c>
      <c r="E50" s="7" t="s">
        <v>161</v>
      </c>
    </row>
    <row r="51" spans="1:5" x14ac:dyDescent="0.3">
      <c r="A51" s="5" t="s">
        <v>162</v>
      </c>
      <c r="B51" s="14">
        <v>502.16300000000001</v>
      </c>
      <c r="C51" s="15"/>
      <c r="D51" s="7" t="s">
        <v>163</v>
      </c>
      <c r="E51" s="7" t="s">
        <v>164</v>
      </c>
    </row>
    <row r="52" spans="1:5" x14ac:dyDescent="0.3">
      <c r="A52" s="5" t="s">
        <v>16</v>
      </c>
      <c r="B52" s="14" t="s">
        <v>165</v>
      </c>
      <c r="C52" s="15"/>
      <c r="D52" s="7" t="s">
        <v>166</v>
      </c>
      <c r="E52" s="7" t="s">
        <v>167</v>
      </c>
    </row>
    <row r="53" spans="1:5" x14ac:dyDescent="0.3">
      <c r="A53" s="5" t="s">
        <v>168</v>
      </c>
      <c r="B53" s="14" t="s">
        <v>169</v>
      </c>
      <c r="C53" s="15"/>
      <c r="D53" s="7" t="s">
        <v>170</v>
      </c>
      <c r="E53" s="7" t="s">
        <v>171</v>
      </c>
    </row>
    <row r="54" spans="1:5" x14ac:dyDescent="0.3">
      <c r="A54" s="5" t="s">
        <v>172</v>
      </c>
      <c r="B54" s="14" t="s">
        <v>173</v>
      </c>
      <c r="C54" s="15"/>
      <c r="D54" s="7" t="s">
        <v>174</v>
      </c>
      <c r="E54" s="7" t="s">
        <v>175</v>
      </c>
    </row>
    <row r="55" spans="1:5" x14ac:dyDescent="0.3">
      <c r="A55" s="5" t="s">
        <v>21</v>
      </c>
      <c r="B55" s="14" t="s">
        <v>176</v>
      </c>
      <c r="C55" s="15"/>
      <c r="D55" s="7" t="s">
        <v>177</v>
      </c>
      <c r="E55" s="7" t="s">
        <v>178</v>
      </c>
    </row>
    <row r="56" spans="1:5" x14ac:dyDescent="0.3">
      <c r="A56" s="5" t="s">
        <v>25</v>
      </c>
      <c r="B56" s="14" t="s">
        <v>179</v>
      </c>
      <c r="C56" s="15"/>
      <c r="D56" s="7" t="s">
        <v>180</v>
      </c>
      <c r="E56" s="7" t="s">
        <v>181</v>
      </c>
    </row>
    <row r="57" spans="1:5" x14ac:dyDescent="0.3">
      <c r="A57" s="5" t="s">
        <v>182</v>
      </c>
      <c r="B57" s="14" t="s">
        <v>183</v>
      </c>
      <c r="C57" s="15"/>
      <c r="D57" s="7" t="s">
        <v>184</v>
      </c>
      <c r="E57" s="7" t="s">
        <v>185</v>
      </c>
    </row>
    <row r="58" spans="1:5" x14ac:dyDescent="0.3">
      <c r="A58" s="5" t="s">
        <v>186</v>
      </c>
      <c r="B58" s="14" t="s">
        <v>187</v>
      </c>
      <c r="C58" s="15"/>
      <c r="D58" s="7" t="s">
        <v>188</v>
      </c>
      <c r="E58" s="7" t="s">
        <v>189</v>
      </c>
    </row>
    <row r="59" spans="1:5" x14ac:dyDescent="0.3">
      <c r="A59" s="5" t="s">
        <v>190</v>
      </c>
      <c r="B59" s="14" t="s">
        <v>191</v>
      </c>
      <c r="C59" s="15"/>
      <c r="D59" s="7" t="s">
        <v>192</v>
      </c>
      <c r="E59" s="7" t="s">
        <v>193</v>
      </c>
    </row>
    <row r="60" spans="1:5" x14ac:dyDescent="0.3">
      <c r="A60" s="5" t="s">
        <v>194</v>
      </c>
      <c r="B60" s="14" t="s">
        <v>195</v>
      </c>
      <c r="C60" s="15"/>
      <c r="D60" s="7" t="s">
        <v>196</v>
      </c>
      <c r="E60" s="7" t="s">
        <v>197</v>
      </c>
    </row>
    <row r="61" spans="1:5" x14ac:dyDescent="0.3">
      <c r="A61" s="5" t="s">
        <v>198</v>
      </c>
      <c r="B61" s="14" t="s">
        <v>199</v>
      </c>
      <c r="C61" s="15"/>
      <c r="D61" s="7" t="s">
        <v>200</v>
      </c>
      <c r="E61" s="7" t="s">
        <v>201</v>
      </c>
    </row>
    <row r="62" spans="1:5" x14ac:dyDescent="0.3">
      <c r="A62" s="5" t="s">
        <v>202</v>
      </c>
      <c r="B62" s="14">
        <v>445.71800000000002</v>
      </c>
      <c r="C62" s="15"/>
      <c r="D62" s="7" t="s">
        <v>203</v>
      </c>
      <c r="E62" s="7" t="s">
        <v>204</v>
      </c>
    </row>
    <row r="63" spans="1:5" x14ac:dyDescent="0.3">
      <c r="A63" s="5" t="s">
        <v>205</v>
      </c>
      <c r="B63" s="14">
        <v>801.99</v>
      </c>
      <c r="C63" s="15"/>
      <c r="D63" s="7" t="s">
        <v>206</v>
      </c>
      <c r="E63" s="7" t="s">
        <v>207</v>
      </c>
    </row>
    <row r="64" spans="1:5" x14ac:dyDescent="0.3">
      <c r="A64" s="5" t="s">
        <v>208</v>
      </c>
      <c r="B64" s="14" t="s">
        <v>209</v>
      </c>
      <c r="C64" s="15"/>
      <c r="D64" s="7" t="s">
        <v>210</v>
      </c>
      <c r="E64" s="7" t="s">
        <v>211</v>
      </c>
    </row>
    <row r="65" spans="1:5" x14ac:dyDescent="0.3">
      <c r="A65" s="5" t="s">
        <v>212</v>
      </c>
      <c r="B65" s="14" t="s">
        <v>213</v>
      </c>
      <c r="C65" s="15"/>
      <c r="D65" s="7" t="s">
        <v>214</v>
      </c>
      <c r="E65" s="7" t="s">
        <v>215</v>
      </c>
    </row>
    <row r="66" spans="1:5" x14ac:dyDescent="0.3">
      <c r="A66" s="5" t="s">
        <v>33</v>
      </c>
      <c r="B66" s="14" t="s">
        <v>216</v>
      </c>
      <c r="C66" s="15"/>
      <c r="D66" s="7" t="s">
        <v>217</v>
      </c>
      <c r="E66" s="7" t="s">
        <v>218</v>
      </c>
    </row>
    <row r="67" spans="1:5" x14ac:dyDescent="0.3">
      <c r="A67" s="5" t="s">
        <v>37</v>
      </c>
      <c r="B67" s="14" t="s">
        <v>219</v>
      </c>
      <c r="C67" s="15"/>
      <c r="D67" s="7" t="s">
        <v>220</v>
      </c>
      <c r="E67" s="7" t="s">
        <v>221</v>
      </c>
    </row>
    <row r="68" spans="1:5" x14ac:dyDescent="0.3">
      <c r="A68" s="5" t="s">
        <v>222</v>
      </c>
      <c r="B68" s="14" t="s">
        <v>223</v>
      </c>
      <c r="C68" s="15"/>
      <c r="D68" s="7" t="s">
        <v>224</v>
      </c>
      <c r="E68" s="7" t="s">
        <v>225</v>
      </c>
    </row>
    <row r="69" spans="1:5" x14ac:dyDescent="0.3">
      <c r="A69" s="5" t="s">
        <v>226</v>
      </c>
      <c r="B69" s="14" t="s">
        <v>227</v>
      </c>
      <c r="C69" s="15"/>
      <c r="D69" s="7" t="s">
        <v>228</v>
      </c>
      <c r="E69" s="7" t="s">
        <v>229</v>
      </c>
    </row>
    <row r="70" spans="1:5" x14ac:dyDescent="0.3">
      <c r="A70" s="5" t="s">
        <v>230</v>
      </c>
      <c r="B70" s="14" t="s">
        <v>231</v>
      </c>
      <c r="C70" s="15"/>
      <c r="D70" s="7" t="s">
        <v>232</v>
      </c>
      <c r="E70" s="7" t="s">
        <v>233</v>
      </c>
    </row>
    <row r="71" spans="1:5" x14ac:dyDescent="0.3">
      <c r="A71" s="5" t="s">
        <v>234</v>
      </c>
      <c r="B71" s="14" t="s">
        <v>235</v>
      </c>
      <c r="C71" s="15"/>
      <c r="D71" s="7" t="s">
        <v>236</v>
      </c>
      <c r="E71" s="7" t="s">
        <v>237</v>
      </c>
    </row>
    <row r="72" spans="1:5" x14ac:dyDescent="0.3">
      <c r="A72" s="5" t="s">
        <v>238</v>
      </c>
      <c r="B72" s="14" t="s">
        <v>239</v>
      </c>
      <c r="C72" s="15"/>
      <c r="D72" s="7" t="s">
        <v>240</v>
      </c>
      <c r="E72" s="7" t="s">
        <v>241</v>
      </c>
    </row>
    <row r="73" spans="1:5" x14ac:dyDescent="0.3">
      <c r="A73" s="5" t="s">
        <v>242</v>
      </c>
      <c r="B73" s="14" t="s">
        <v>243</v>
      </c>
      <c r="C73" s="15"/>
      <c r="D73" s="7" t="s">
        <v>244</v>
      </c>
      <c r="E73" s="7" t="s">
        <v>245</v>
      </c>
    </row>
    <row r="74" spans="1:5" x14ac:dyDescent="0.3">
      <c r="A74" s="5" t="s">
        <v>246</v>
      </c>
      <c r="B74" s="14">
        <v>854.62699999999995</v>
      </c>
      <c r="C74" s="15"/>
      <c r="D74" s="7" t="s">
        <v>247</v>
      </c>
      <c r="E74" s="7" t="s">
        <v>248</v>
      </c>
    </row>
    <row r="75" spans="1:5" x14ac:dyDescent="0.3">
      <c r="A75" s="5" t="s">
        <v>60</v>
      </c>
      <c r="B75" s="14" t="s">
        <v>249</v>
      </c>
      <c r="C75" s="15"/>
      <c r="D75" s="7" t="s">
        <v>250</v>
      </c>
      <c r="E75" s="7" t="s">
        <v>251</v>
      </c>
    </row>
    <row r="76" spans="1:5" x14ac:dyDescent="0.3">
      <c r="A76" s="5" t="s">
        <v>252</v>
      </c>
      <c r="B76" s="14" t="s">
        <v>253</v>
      </c>
      <c r="C76" s="15"/>
      <c r="D76" s="7" t="s">
        <v>254</v>
      </c>
      <c r="E76" s="7" t="s">
        <v>255</v>
      </c>
    </row>
    <row r="77" spans="1:5" x14ac:dyDescent="0.3">
      <c r="A77" s="5" t="s">
        <v>256</v>
      </c>
      <c r="B77" s="14" t="s">
        <v>257</v>
      </c>
      <c r="C77" s="15"/>
      <c r="D77" s="7" t="s">
        <v>258</v>
      </c>
      <c r="E77" s="7" t="s">
        <v>259</v>
      </c>
    </row>
    <row r="78" spans="1:5" x14ac:dyDescent="0.3">
      <c r="A78" s="5" t="s">
        <v>260</v>
      </c>
      <c r="B78" s="14" t="s">
        <v>261</v>
      </c>
      <c r="C78" s="15"/>
      <c r="D78" s="7" t="s">
        <v>262</v>
      </c>
      <c r="E78" s="7" t="s">
        <v>263</v>
      </c>
    </row>
    <row r="79" spans="1:5" x14ac:dyDescent="0.3">
      <c r="A79" s="5" t="s">
        <v>94</v>
      </c>
      <c r="B79" s="14" t="s">
        <v>264</v>
      </c>
      <c r="C79" s="15"/>
      <c r="D79" s="7" t="s">
        <v>265</v>
      </c>
      <c r="E79" s="7" t="s">
        <v>266</v>
      </c>
    </row>
    <row r="80" spans="1:5" x14ac:dyDescent="0.3">
      <c r="A80" s="5" t="s">
        <v>267</v>
      </c>
      <c r="B80" s="14" t="s">
        <v>268</v>
      </c>
      <c r="C80" s="15"/>
      <c r="D80" s="7" t="s">
        <v>269</v>
      </c>
      <c r="E80" s="7" t="s">
        <v>270</v>
      </c>
    </row>
    <row r="81" spans="1:9" x14ac:dyDescent="0.3">
      <c r="A81" s="5" t="s">
        <v>271</v>
      </c>
      <c r="B81" s="14" t="s">
        <v>272</v>
      </c>
      <c r="C81" s="15"/>
      <c r="D81" s="7" t="s">
        <v>273</v>
      </c>
      <c r="E81" s="7" t="s">
        <v>274</v>
      </c>
    </row>
    <row r="82" spans="1:9" x14ac:dyDescent="0.3">
      <c r="A82" s="5" t="s">
        <v>275</v>
      </c>
      <c r="B82" s="14" t="s">
        <v>276</v>
      </c>
      <c r="C82" s="15"/>
      <c r="D82" s="7" t="s">
        <v>277</v>
      </c>
      <c r="E82" s="7" t="s">
        <v>278</v>
      </c>
    </row>
    <row r="83" spans="1:9" x14ac:dyDescent="0.3">
      <c r="A83" s="5" t="s">
        <v>279</v>
      </c>
      <c r="B83" s="14" t="s">
        <v>280</v>
      </c>
      <c r="C83" s="15"/>
      <c r="D83" s="7" t="s">
        <v>281</v>
      </c>
      <c r="E83" s="7" t="s">
        <v>282</v>
      </c>
    </row>
    <row r="84" spans="1:9" x14ac:dyDescent="0.3">
      <c r="A84" s="5" t="s">
        <v>283</v>
      </c>
      <c r="B84" s="14">
        <v>215.607</v>
      </c>
      <c r="C84" s="15"/>
      <c r="D84" s="7" t="s">
        <v>284</v>
      </c>
      <c r="E84" s="7" t="s">
        <v>285</v>
      </c>
    </row>
    <row r="85" spans="1:9" x14ac:dyDescent="0.3">
      <c r="A85" s="5" t="s">
        <v>102</v>
      </c>
      <c r="B85" s="14" t="s">
        <v>286</v>
      </c>
      <c r="C85" s="15"/>
      <c r="D85" s="7" t="s">
        <v>287</v>
      </c>
      <c r="E85" s="7" t="s">
        <v>288</v>
      </c>
    </row>
    <row r="86" spans="1:9" x14ac:dyDescent="0.3">
      <c r="A86" s="5" t="s">
        <v>106</v>
      </c>
      <c r="B86" s="14" t="s">
        <v>289</v>
      </c>
      <c r="C86" s="15"/>
      <c r="D86" s="7" t="s">
        <v>290</v>
      </c>
      <c r="E86" s="7" t="s">
        <v>291</v>
      </c>
    </row>
    <row r="87" spans="1:9" x14ac:dyDescent="0.3">
      <c r="A87" s="5" t="s">
        <v>108</v>
      </c>
      <c r="B87" s="14" t="s">
        <v>292</v>
      </c>
      <c r="C87" s="15"/>
      <c r="D87" s="7" t="s">
        <v>293</v>
      </c>
      <c r="E87" s="7" t="s">
        <v>294</v>
      </c>
    </row>
    <row r="88" spans="1:9" x14ac:dyDescent="0.3">
      <c r="A88" s="4" t="s">
        <v>118</v>
      </c>
      <c r="B88" s="16" t="s">
        <v>295</v>
      </c>
      <c r="C88" s="17"/>
      <c r="D88" s="9" t="s">
        <v>296</v>
      </c>
      <c r="E88" s="9" t="s">
        <v>297</v>
      </c>
      <c r="G88" s="1">
        <f>B88/31</f>
        <v>125865.46338709678</v>
      </c>
      <c r="I88" s="1">
        <f>D88/B88</f>
        <v>3508.5143698256006</v>
      </c>
    </row>
    <row r="89" spans="1:9" x14ac:dyDescent="0.3">
      <c r="A89" s="18" t="s">
        <v>118</v>
      </c>
      <c r="B89" s="19"/>
      <c r="C89" s="19"/>
      <c r="D89" s="9" t="s">
        <v>298</v>
      </c>
      <c r="E89" s="9" t="s">
        <v>299</v>
      </c>
    </row>
    <row r="90" spans="1:9" x14ac:dyDescent="0.3">
      <c r="A90" s="2" t="s">
        <v>4</v>
      </c>
      <c r="B90" s="20" t="s">
        <v>5</v>
      </c>
      <c r="C90" s="21"/>
      <c r="D90" s="2" t="s">
        <v>6</v>
      </c>
      <c r="E90" s="2" t="s">
        <v>7</v>
      </c>
    </row>
    <row r="91" spans="1:9" x14ac:dyDescent="0.3">
      <c r="A91" s="3"/>
      <c r="B91" s="20" t="s">
        <v>128</v>
      </c>
      <c r="C91" s="21"/>
      <c r="D91" s="2" t="s">
        <v>10</v>
      </c>
      <c r="E91" s="2" t="s">
        <v>10</v>
      </c>
    </row>
    <row r="92" spans="1:9" x14ac:dyDescent="0.3">
      <c r="A92" s="10" t="s">
        <v>118</v>
      </c>
      <c r="B92" s="12">
        <v>0</v>
      </c>
      <c r="C92" s="13"/>
      <c r="D92" s="11">
        <v>0</v>
      </c>
      <c r="E92" s="11">
        <v>0</v>
      </c>
    </row>
    <row r="1048413" ht="12.75" customHeight="1" x14ac:dyDescent="0.3"/>
    <row r="1048414" ht="12.75" customHeight="1" x14ac:dyDescent="0.3"/>
    <row r="1048415" ht="12.75" customHeight="1" x14ac:dyDescent="0.3"/>
    <row r="1048416" ht="12.75" customHeight="1" x14ac:dyDescent="0.3"/>
    <row r="1048417" ht="12.75" customHeight="1" x14ac:dyDescent="0.3"/>
    <row r="1048418" ht="12.75" customHeight="1" x14ac:dyDescent="0.3"/>
    <row r="1048419" ht="12.75" customHeight="1" x14ac:dyDescent="0.3"/>
    <row r="1048420" ht="12.75" customHeight="1" x14ac:dyDescent="0.3"/>
    <row r="1048421" ht="12.75" customHeight="1" x14ac:dyDescent="0.3"/>
    <row r="1048422" ht="12.75" customHeight="1" x14ac:dyDescent="0.3"/>
    <row r="1048423" ht="12.75" customHeight="1" x14ac:dyDescent="0.3"/>
    <row r="1048424" ht="12.75" customHeight="1" x14ac:dyDescent="0.3"/>
    <row r="1048425" ht="12.75" customHeight="1" x14ac:dyDescent="0.3"/>
    <row r="1048426" ht="12.75" customHeight="1" x14ac:dyDescent="0.3"/>
    <row r="1048427" ht="12.75" customHeight="1" x14ac:dyDescent="0.3"/>
    <row r="1048428" ht="12.75" customHeight="1" x14ac:dyDescent="0.3"/>
    <row r="1048429" ht="12.75" customHeight="1" x14ac:dyDescent="0.3"/>
    <row r="1048430" ht="12.75" customHeight="1" x14ac:dyDescent="0.3"/>
    <row r="1048431" ht="12.75" customHeight="1" x14ac:dyDescent="0.3"/>
    <row r="1048432" ht="12.75" customHeight="1" x14ac:dyDescent="0.3"/>
    <row r="1048433" ht="12.75" customHeight="1" x14ac:dyDescent="0.3"/>
    <row r="1048434" ht="12.75" customHeight="1" x14ac:dyDescent="0.3"/>
    <row r="1048435" ht="12.75" customHeight="1" x14ac:dyDescent="0.3"/>
    <row r="1048436" ht="12.75" customHeight="1" x14ac:dyDescent="0.3"/>
    <row r="1048437" ht="12.75" customHeight="1" x14ac:dyDescent="0.3"/>
    <row r="1048438" ht="12.75" customHeight="1" x14ac:dyDescent="0.3"/>
    <row r="1048439" ht="12.75" customHeight="1" x14ac:dyDescent="0.3"/>
    <row r="1048440" ht="12.75" customHeight="1" x14ac:dyDescent="0.3"/>
    <row r="1048441" ht="12.75" customHeight="1" x14ac:dyDescent="0.3"/>
    <row r="1048442" ht="12.75" customHeight="1" x14ac:dyDescent="0.3"/>
    <row r="1048443" ht="12.75" customHeight="1" x14ac:dyDescent="0.3"/>
    <row r="1048444" ht="12.75" customHeight="1" x14ac:dyDescent="0.3"/>
    <row r="1048445" ht="12.75" customHeight="1" x14ac:dyDescent="0.3"/>
    <row r="1048446" ht="12.75" customHeight="1" x14ac:dyDescent="0.3"/>
    <row r="1048447" ht="12.75" customHeight="1" x14ac:dyDescent="0.3"/>
    <row r="1048448" ht="12.75" customHeight="1" x14ac:dyDescent="0.3"/>
    <row r="1048449" ht="12.75" customHeight="1" x14ac:dyDescent="0.3"/>
    <row r="1048450" ht="12.75" customHeight="1" x14ac:dyDescent="0.3"/>
    <row r="1048451" ht="12.75" customHeight="1" x14ac:dyDescent="0.3"/>
    <row r="1048452" ht="12.75" customHeight="1" x14ac:dyDescent="0.3"/>
    <row r="1048453" ht="12.75" customHeight="1" x14ac:dyDescent="0.3"/>
    <row r="1048454" ht="12.75" customHeight="1" x14ac:dyDescent="0.3"/>
    <row r="1048455" ht="12.75" customHeight="1" x14ac:dyDescent="0.3"/>
    <row r="1048456" ht="12.75" customHeight="1" x14ac:dyDescent="0.3"/>
    <row r="1048457" ht="12.75" customHeight="1" x14ac:dyDescent="0.3"/>
    <row r="1048458" ht="12.75" customHeight="1" x14ac:dyDescent="0.3"/>
    <row r="1048459" ht="12.75" customHeight="1" x14ac:dyDescent="0.3"/>
    <row r="1048460" ht="12.75" customHeight="1" x14ac:dyDescent="0.3"/>
    <row r="1048461" ht="12.75" customHeight="1" x14ac:dyDescent="0.3"/>
    <row r="1048462" ht="12.75" customHeight="1" x14ac:dyDescent="0.3"/>
    <row r="1048463" ht="12.75" customHeight="1" x14ac:dyDescent="0.3"/>
    <row r="1048464" ht="12.75" customHeight="1" x14ac:dyDescent="0.3"/>
    <row r="1048465" ht="12.75" customHeight="1" x14ac:dyDescent="0.3"/>
    <row r="1048466" ht="12.75" customHeight="1" x14ac:dyDescent="0.3"/>
    <row r="1048467" ht="12.75" customHeight="1" x14ac:dyDescent="0.3"/>
    <row r="1048468" ht="12.75" customHeight="1" x14ac:dyDescent="0.3"/>
    <row r="1048469" ht="12.75" customHeight="1" x14ac:dyDescent="0.3"/>
    <row r="1048470" ht="12.75" customHeight="1" x14ac:dyDescent="0.3"/>
    <row r="1048471" ht="12.75" customHeight="1" x14ac:dyDescent="0.3"/>
    <row r="1048472" ht="12.75" customHeight="1" x14ac:dyDescent="0.3"/>
    <row r="1048473" ht="12.75" customHeight="1" x14ac:dyDescent="0.3"/>
    <row r="1048474" ht="12.75" customHeight="1" x14ac:dyDescent="0.3"/>
    <row r="1048475" ht="12.75" customHeight="1" x14ac:dyDescent="0.3"/>
    <row r="1048476" ht="12.75" customHeight="1" x14ac:dyDescent="0.3"/>
    <row r="1048477" ht="12.75" customHeight="1" x14ac:dyDescent="0.3"/>
    <row r="1048478" ht="12.75" customHeight="1" x14ac:dyDescent="0.3"/>
    <row r="1048479" ht="12.75" customHeight="1" x14ac:dyDescent="0.3"/>
    <row r="1048480" ht="12.75" customHeight="1" x14ac:dyDescent="0.3"/>
    <row r="1048481" ht="12.75" customHeight="1" x14ac:dyDescent="0.3"/>
    <row r="1048482" ht="12.75" customHeight="1" x14ac:dyDescent="0.3"/>
    <row r="1048483" ht="12.75" customHeight="1" x14ac:dyDescent="0.3"/>
    <row r="1048484" ht="12.75" customHeight="1" x14ac:dyDescent="0.3"/>
    <row r="1048485" ht="12.75" customHeight="1" x14ac:dyDescent="0.3"/>
    <row r="1048486" ht="12.75" customHeight="1" x14ac:dyDescent="0.3"/>
    <row r="1048487" ht="12.75" customHeight="1" x14ac:dyDescent="0.3"/>
    <row r="1048488" ht="12.75" customHeight="1" x14ac:dyDescent="0.3"/>
    <row r="1048489" ht="12.75" customHeight="1" x14ac:dyDescent="0.3"/>
    <row r="1048490" ht="12.75" customHeight="1" x14ac:dyDescent="0.3"/>
    <row r="1048491" ht="12.75" customHeight="1" x14ac:dyDescent="0.3"/>
    <row r="1048492" ht="12.75" customHeight="1" x14ac:dyDescent="0.3"/>
    <row r="1048493" ht="12.75" customHeight="1" x14ac:dyDescent="0.3"/>
    <row r="1048494" ht="12.75" customHeight="1" x14ac:dyDescent="0.3"/>
    <row r="1048495" ht="12.75" customHeight="1" x14ac:dyDescent="0.3"/>
    <row r="1048496" ht="12.75" customHeight="1" x14ac:dyDescent="0.3"/>
    <row r="1048497" ht="12.75" customHeight="1" x14ac:dyDescent="0.3"/>
    <row r="1048498" ht="12.75" customHeight="1" x14ac:dyDescent="0.3"/>
    <row r="1048499" ht="12.75" customHeight="1" x14ac:dyDescent="0.3"/>
    <row r="1048500" ht="12.75" customHeight="1" x14ac:dyDescent="0.3"/>
    <row r="1048501" ht="12.75" customHeight="1" x14ac:dyDescent="0.3"/>
    <row r="1048502" ht="12.75" customHeight="1" x14ac:dyDescent="0.3"/>
    <row r="1048503" ht="12.75" customHeight="1" x14ac:dyDescent="0.3"/>
    <row r="1048504" ht="12.75" customHeight="1" x14ac:dyDescent="0.3"/>
    <row r="1048505" ht="12.75" customHeight="1" x14ac:dyDescent="0.3"/>
    <row r="1048506" ht="12.75" customHeight="1" x14ac:dyDescent="0.3"/>
    <row r="1048507" ht="12.75" customHeight="1" x14ac:dyDescent="0.3"/>
    <row r="1048508" ht="12.75" customHeight="1" x14ac:dyDescent="0.3"/>
    <row r="1048509" ht="12.75" customHeight="1" x14ac:dyDescent="0.3"/>
    <row r="1048510" ht="12.75" customHeight="1" x14ac:dyDescent="0.3"/>
    <row r="1048511" ht="12.75" customHeight="1" x14ac:dyDescent="0.3"/>
    <row r="1048512" ht="12.75" customHeight="1" x14ac:dyDescent="0.3"/>
    <row r="1048513" ht="12.75" customHeight="1" x14ac:dyDescent="0.3"/>
    <row r="1048514" ht="12.75" customHeight="1" x14ac:dyDescent="0.3"/>
    <row r="1048515" ht="12.75" customHeight="1" x14ac:dyDescent="0.3"/>
    <row r="1048516" ht="12.75" customHeight="1" x14ac:dyDescent="0.3"/>
    <row r="1048517" ht="12.75" customHeight="1" x14ac:dyDescent="0.3"/>
    <row r="1048518" ht="12.75" customHeight="1" x14ac:dyDescent="0.3"/>
    <row r="1048519" ht="12.75" customHeight="1" x14ac:dyDescent="0.3"/>
    <row r="1048520" ht="12.75" customHeight="1" x14ac:dyDescent="0.3"/>
    <row r="1048521" ht="12.75" customHeight="1" x14ac:dyDescent="0.3"/>
    <row r="1048522" ht="12.75" customHeight="1" x14ac:dyDescent="0.3"/>
    <row r="1048523" ht="12.75" customHeight="1" x14ac:dyDescent="0.3"/>
    <row r="1048524" ht="12.75" customHeight="1" x14ac:dyDescent="0.3"/>
    <row r="1048525" ht="12.75" customHeight="1" x14ac:dyDescent="0.3"/>
    <row r="1048526" ht="12.75" customHeight="1" x14ac:dyDescent="0.3"/>
    <row r="1048527" ht="12.75" customHeight="1" x14ac:dyDescent="0.3"/>
    <row r="1048528" ht="12.75" customHeight="1" x14ac:dyDescent="0.3"/>
    <row r="1048529" ht="12.75" customHeight="1" x14ac:dyDescent="0.3"/>
    <row r="1048530" ht="12.75" customHeight="1" x14ac:dyDescent="0.3"/>
    <row r="1048531" ht="12.75" customHeight="1" x14ac:dyDescent="0.3"/>
    <row r="1048532" ht="12.75" customHeight="1" x14ac:dyDescent="0.3"/>
    <row r="1048533" ht="12.75" customHeight="1" x14ac:dyDescent="0.3"/>
    <row r="1048534" ht="12.75" customHeight="1" x14ac:dyDescent="0.3"/>
    <row r="1048535" ht="12.75" customHeight="1" x14ac:dyDescent="0.3"/>
    <row r="1048536" ht="12.75" customHeight="1" x14ac:dyDescent="0.3"/>
    <row r="1048537" ht="12.75" customHeight="1" x14ac:dyDescent="0.3"/>
    <row r="1048538" ht="12.75" customHeight="1" x14ac:dyDescent="0.3"/>
    <row r="1048539" ht="12.75" customHeight="1" x14ac:dyDescent="0.3"/>
    <row r="1048540" ht="12.75" customHeight="1" x14ac:dyDescent="0.3"/>
    <row r="1048541" ht="12.75" customHeight="1" x14ac:dyDescent="0.3"/>
    <row r="1048542" ht="12.75" customHeight="1" x14ac:dyDescent="0.3"/>
    <row r="1048543" ht="12.75" customHeight="1" x14ac:dyDescent="0.3"/>
    <row r="1048544" ht="12.75" customHeight="1" x14ac:dyDescent="0.3"/>
    <row r="1048545" ht="12.75" customHeight="1" x14ac:dyDescent="0.3"/>
    <row r="1048546" ht="12.75" customHeight="1" x14ac:dyDescent="0.3"/>
    <row r="1048547" ht="12.75" customHeight="1" x14ac:dyDescent="0.3"/>
    <row r="1048548" ht="12.75" customHeight="1" x14ac:dyDescent="0.3"/>
    <row r="1048549" ht="12.75" customHeight="1" x14ac:dyDescent="0.3"/>
    <row r="1048550" ht="12.75" customHeight="1" x14ac:dyDescent="0.3"/>
    <row r="1048551" ht="12.75" customHeight="1" x14ac:dyDescent="0.3"/>
    <row r="1048552" ht="12.75" customHeight="1" x14ac:dyDescent="0.3"/>
    <row r="1048553" ht="12.75" customHeight="1" x14ac:dyDescent="0.3"/>
    <row r="1048554" ht="12.75" customHeight="1" x14ac:dyDescent="0.3"/>
    <row r="1048555" ht="12.75" customHeight="1" x14ac:dyDescent="0.3"/>
    <row r="1048556" ht="12.75" customHeight="1" x14ac:dyDescent="0.3"/>
    <row r="1048557" ht="12.75" customHeight="1" x14ac:dyDescent="0.3"/>
    <row r="1048558" ht="12.75" customHeight="1" x14ac:dyDescent="0.3"/>
    <row r="1048559" ht="12.75" customHeight="1" x14ac:dyDescent="0.3"/>
    <row r="1048560" ht="12.75" customHeight="1" x14ac:dyDescent="0.3"/>
    <row r="1048561" ht="12.75" customHeight="1" x14ac:dyDescent="0.3"/>
    <row r="1048562" ht="12.75" customHeight="1" x14ac:dyDescent="0.3"/>
    <row r="1048563" ht="12.75" customHeight="1" x14ac:dyDescent="0.3"/>
    <row r="1048564" ht="12.75" customHeight="1" x14ac:dyDescent="0.3"/>
    <row r="1048565" ht="12.75" customHeight="1" x14ac:dyDescent="0.3"/>
    <row r="1048566" ht="12.75" customHeight="1" x14ac:dyDescent="0.3"/>
    <row r="1048567" ht="12.75" customHeight="1" x14ac:dyDescent="0.3"/>
    <row r="1048568" ht="12.75" customHeight="1" x14ac:dyDescent="0.3"/>
    <row r="1048569" ht="12.75" customHeight="1" x14ac:dyDescent="0.3"/>
    <row r="1048570" ht="12.75" customHeight="1" x14ac:dyDescent="0.3"/>
    <row r="1048571" ht="12.75" customHeight="1" x14ac:dyDescent="0.3"/>
    <row r="1048572" ht="12.75" customHeight="1" x14ac:dyDescent="0.3"/>
    <row r="1048573" ht="12.75" customHeight="1" x14ac:dyDescent="0.3"/>
    <row r="1048574" ht="12.75" customHeight="1" x14ac:dyDescent="0.3"/>
    <row r="1048575" ht="12.75" customHeight="1" x14ac:dyDescent="0.3"/>
    <row r="1048576" ht="12.75" customHeight="1" x14ac:dyDescent="0.3"/>
  </sheetData>
  <sheetProtection formatCells="0" formatColumns="0" formatRows="0" insertColumns="0" insertRows="0" insertHyperlinks="0" deleteColumns="0" deleteRows="0" sort="0" autoFilter="0" pivotTables="0"/>
  <mergeCells count="67">
    <mergeCell ref="A1:E1"/>
    <mergeCell ref="A2:E2"/>
    <mergeCell ref="A3:E3"/>
    <mergeCell ref="A4:E4"/>
    <mergeCell ref="A5:A6"/>
    <mergeCell ref="B5:C5"/>
    <mergeCell ref="A34:E34"/>
    <mergeCell ref="A35:A36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A47:E47"/>
    <mergeCell ref="A48:A49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92:C92"/>
    <mergeCell ref="B87:C87"/>
    <mergeCell ref="B88:C88"/>
    <mergeCell ref="A89:C89"/>
    <mergeCell ref="B90:C90"/>
    <mergeCell ref="B91:C91"/>
  </mergeCells>
  <pageMargins left="0.39374999999999999" right="0.39374999999999999" top="0.39374999999999999" bottom="0.39374999999999999" header="0.51180555555554996" footer="0.51180555555554996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9ead7b-6342-4494-9745-aa11ca9090cb">
      <Terms xmlns="http://schemas.microsoft.com/office/infopath/2007/PartnerControls"/>
    </lcf76f155ced4ddcb4097134ff3c332f>
    <TaxCatchAll xmlns="9e595a92-2a84-46d4-9885-e168ac7f98a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40CA4B69967448E5E142573FA85FC" ma:contentTypeVersion="17" ma:contentTypeDescription="Create a new document." ma:contentTypeScope="" ma:versionID="3f19dfd05c72a4aa217b148f0f00ef59">
  <xsd:schema xmlns:xsd="http://www.w3.org/2001/XMLSchema" xmlns:xs="http://www.w3.org/2001/XMLSchema" xmlns:p="http://schemas.microsoft.com/office/2006/metadata/properties" xmlns:ns2="7e9ead7b-6342-4494-9745-aa11ca9090cb" xmlns:ns3="9e595a92-2a84-46d4-9885-e168ac7f98a1" targetNamespace="http://schemas.microsoft.com/office/2006/metadata/properties" ma:root="true" ma:fieldsID="3d61ddcb55407106f5563e5e5e5e7a99" ns2:_="" ns3:_="">
    <xsd:import namespace="7e9ead7b-6342-4494-9745-aa11ca9090cb"/>
    <xsd:import namespace="9e595a92-2a84-46d4-9885-e168ac7f98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ead7b-6342-4494-9745-aa11ca909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b3741f9-8584-47b2-968f-3f53d9bbee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95a92-2a84-46d4-9885-e168ac7f98a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d5f833c-ae06-418d-979f-18c784237a1f}" ma:internalName="TaxCatchAll" ma:showField="CatchAllData" ma:web="9e595a92-2a84-46d4-9885-e168ac7f98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AAC4AC-45EA-4CEA-95E2-FDD24F74CC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D2D82CD-9F9D-4F3E-90FB-FB139AED1289}">
  <ds:schemaRefs>
    <ds:schemaRef ds:uri="http://schemas.microsoft.com/office/2006/metadata/properties"/>
    <ds:schemaRef ds:uri="http://schemas.microsoft.com/office/infopath/2007/PartnerControls"/>
    <ds:schemaRef ds:uri="7e9ead7b-6342-4494-9745-aa11ca9090cb"/>
    <ds:schemaRef ds:uri="9e595a92-2a84-46d4-9885-e168ac7f98a1"/>
  </ds:schemaRefs>
</ds:datastoreItem>
</file>

<file path=customXml/itemProps3.xml><?xml version="1.0" encoding="utf-8"?>
<ds:datastoreItem xmlns:ds="http://schemas.openxmlformats.org/officeDocument/2006/customXml" ds:itemID="{13D0E4AD-E66B-4404-A6AD-0F6D694FC7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9ead7b-6342-4494-9745-aa11ca9090cb"/>
    <ds:schemaRef ds:uri="9e595a92-2a84-46d4-9885-e168ac7f98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พฤษภาคม 2569</vt:lpstr>
      <vt:lpstr>'พฤษภาคม 2569'!Print_Area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Pimpen Piyawanitchpong</cp:lastModifiedBy>
  <dcterms:created xsi:type="dcterms:W3CDTF">2019-03-30T03:25:20Z</dcterms:created>
  <dcterms:modified xsi:type="dcterms:W3CDTF">2026-07-20T03:03:54Z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ategory">
    <vt:lpwstr>Test result file</vt:lpwstr>
  </property>
  <property fmtid="{D5CDD505-2E9C-101B-9397-08002B2CF9AE}" pid="10" name="ContentTypeId">
    <vt:lpwstr>0x010100CCB40CA4B69967448E5E142573FA85FC</vt:lpwstr>
  </property>
  <property fmtid="{D5CDD505-2E9C-101B-9397-08002B2CF9AE}" pid="11" name="MediaServiceImageTags">
    <vt:lpwstr/>
  </property>
</Properties>
</file>